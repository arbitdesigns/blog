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tiss\Downloads\Eva\"/>
    </mc:Choice>
  </mc:AlternateContent>
  <xr:revisionPtr revIDLastSave="0" documentId="13_ncr:1_{1C2FF997-056B-438C-BF3B-4633B00664DC}" xr6:coauthVersionLast="47" xr6:coauthVersionMax="47" xr10:uidLastSave="{00000000-0000-0000-0000-000000000000}"/>
  <bookViews>
    <workbookView xWindow="-90" yWindow="-16335" windowWidth="29070" windowHeight="15750" tabRatio="500" firstSheet="1" activeTab="5" xr2:uid="{00000000-000D-0000-FFFF-FFFF00000000}"/>
  </bookViews>
  <sheets>
    <sheet name="Vehicle Specs" sheetId="1" r:id="rId1"/>
    <sheet name="Gradeability Power" sheetId="2" r:id="rId2"/>
    <sheet name="Acceleration Power" sheetId="3" r:id="rId3"/>
    <sheet name="Powertrain Summary" sheetId="4" r:id="rId4"/>
    <sheet name="Accel Verification" sheetId="5" r:id="rId5"/>
    <sheet name="Grade Verific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1" i="6" l="1"/>
  <c r="B60" i="6"/>
  <c r="B59" i="6"/>
  <c r="B58" i="6"/>
  <c r="B57" i="6"/>
  <c r="B56" i="6"/>
  <c r="B55" i="6"/>
  <c r="B54" i="6"/>
  <c r="C16" i="6"/>
  <c r="C15" i="6"/>
  <c r="C14" i="6"/>
  <c r="D21" i="6" s="1"/>
  <c r="C13" i="6"/>
  <c r="D27" i="6" s="1"/>
  <c r="C12" i="6"/>
  <c r="C11" i="6"/>
  <c r="C10" i="6"/>
  <c r="C9" i="6"/>
  <c r="C8" i="6"/>
  <c r="B25" i="5"/>
  <c r="K25" i="5" s="1"/>
  <c r="B24" i="5"/>
  <c r="K24" i="5" s="1"/>
  <c r="B23" i="5"/>
  <c r="K23" i="5" s="1"/>
  <c r="B22" i="5"/>
  <c r="K22" i="5" s="1"/>
  <c r="B21" i="5"/>
  <c r="K21" i="5" s="1"/>
  <c r="B20" i="5"/>
  <c r="K20" i="5" s="1"/>
  <c r="B19" i="5"/>
  <c r="K19" i="5" s="1"/>
  <c r="B18" i="5"/>
  <c r="K18" i="5" s="1"/>
  <c r="B17" i="5"/>
  <c r="K17" i="5" s="1"/>
  <c r="B16" i="5"/>
  <c r="K16" i="5" s="1"/>
  <c r="B15" i="5"/>
  <c r="K15" i="5" s="1"/>
  <c r="B14" i="5"/>
  <c r="K14" i="5" s="1"/>
  <c r="B13" i="5"/>
  <c r="K13" i="5" s="1"/>
  <c r="B12" i="5"/>
  <c r="K12" i="5" s="1"/>
  <c r="B11" i="5"/>
  <c r="C52" i="4"/>
  <c r="C51" i="4"/>
  <c r="C50" i="4"/>
  <c r="C44" i="4"/>
  <c r="C36" i="4"/>
  <c r="C25" i="4"/>
  <c r="C16" i="4"/>
  <c r="B32" i="3"/>
  <c r="G23" i="3"/>
  <c r="F23" i="3"/>
  <c r="C23" i="3"/>
  <c r="B23" i="3"/>
  <c r="F22" i="3"/>
  <c r="D22" i="3"/>
  <c r="C40" i="3" s="1"/>
  <c r="C22" i="3"/>
  <c r="G22" i="3" s="1"/>
  <c r="B31" i="3" s="1"/>
  <c r="B22" i="3"/>
  <c r="E21" i="3"/>
  <c r="D21" i="3"/>
  <c r="C39" i="3" s="1"/>
  <c r="C21" i="3"/>
  <c r="G21" i="3" s="1"/>
  <c r="B30" i="3" s="1"/>
  <c r="B21" i="3"/>
  <c r="F21" i="3" s="1"/>
  <c r="C20" i="3"/>
  <c r="G20" i="3" s="1"/>
  <c r="B29" i="3" s="1"/>
  <c r="B20" i="3"/>
  <c r="F20" i="3" s="1"/>
  <c r="G19" i="3"/>
  <c r="B28" i="3" s="1"/>
  <c r="F19" i="3"/>
  <c r="C19" i="3"/>
  <c r="B19" i="3"/>
  <c r="F18" i="3"/>
  <c r="D18" i="3"/>
  <c r="C36" i="3" s="1"/>
  <c r="C18" i="3"/>
  <c r="G18" i="3" s="1"/>
  <c r="B27" i="3" s="1"/>
  <c r="D13" i="3"/>
  <c r="D12" i="3"/>
  <c r="D11" i="3"/>
  <c r="D10" i="3"/>
  <c r="D9" i="3"/>
  <c r="D8" i="3"/>
  <c r="D7" i="3"/>
  <c r="D6" i="3"/>
  <c r="D16" i="2"/>
  <c r="D15" i="2"/>
  <c r="D13" i="2"/>
  <c r="D26" i="2" s="1"/>
  <c r="D12" i="2"/>
  <c r="D20" i="2" s="1"/>
  <c r="D11" i="2"/>
  <c r="D10" i="2"/>
  <c r="D9" i="2"/>
  <c r="D8" i="2"/>
  <c r="D7" i="2"/>
  <c r="D6" i="2"/>
  <c r="C64" i="1"/>
  <c r="D23" i="3" s="1"/>
  <c r="C41" i="3" s="1"/>
  <c r="D63" i="1"/>
  <c r="E22" i="3" s="1"/>
  <c r="C63" i="1"/>
  <c r="C62" i="1"/>
  <c r="D62" i="1" s="1"/>
  <c r="C61" i="1"/>
  <c r="D20" i="3" s="1"/>
  <c r="C38" i="3" s="1"/>
  <c r="C60" i="1"/>
  <c r="D19" i="3" s="1"/>
  <c r="C37" i="3" s="1"/>
  <c r="D59" i="1"/>
  <c r="E18" i="3" s="1"/>
  <c r="C59" i="1"/>
  <c r="D50" i="1"/>
  <c r="G24" i="5" s="1"/>
  <c r="D43" i="1"/>
  <c r="D40" i="1"/>
  <c r="D14" i="2" s="1"/>
  <c r="D24" i="1"/>
  <c r="D14" i="1" s="1"/>
  <c r="D15" i="1" s="1"/>
  <c r="D16" i="1"/>
  <c r="D17" i="1" l="1"/>
  <c r="C13" i="4" s="1"/>
  <c r="D21" i="2"/>
  <c r="D22" i="2"/>
  <c r="D64" i="1"/>
  <c r="E23" i="3" s="1"/>
  <c r="D68" i="1"/>
  <c r="D61" i="1"/>
  <c r="E20" i="3" s="1"/>
  <c r="E27" i="3"/>
  <c r="D60" i="1"/>
  <c r="E19" i="3" s="1"/>
  <c r="D25" i="1"/>
  <c r="C54" i="4" s="1"/>
  <c r="C53" i="4"/>
  <c r="D14" i="3"/>
  <c r="E28" i="3"/>
  <c r="G13" i="5"/>
  <c r="G15" i="5"/>
  <c r="G17" i="5"/>
  <c r="G19" i="5"/>
  <c r="G21" i="5"/>
  <c r="G23" i="5"/>
  <c r="G25" i="5"/>
  <c r="G11" i="5"/>
  <c r="G12" i="5"/>
  <c r="G14" i="5"/>
  <c r="G16" i="5"/>
  <c r="G18" i="5"/>
  <c r="G20" i="5"/>
  <c r="G22" i="5"/>
  <c r="F36" i="3"/>
  <c r="C7" i="6" l="1"/>
  <c r="D57" i="6" s="1"/>
  <c r="E46" i="4"/>
  <c r="D5" i="2"/>
  <c r="D38" i="2" s="1"/>
  <c r="C46" i="4"/>
  <c r="D5" i="3"/>
  <c r="C7" i="5"/>
  <c r="F39" i="3"/>
  <c r="E31" i="3"/>
  <c r="E29" i="3"/>
  <c r="F37" i="3"/>
  <c r="E32" i="3"/>
  <c r="F41" i="3"/>
  <c r="F40" i="3"/>
  <c r="E30" i="3"/>
  <c r="F38" i="3"/>
  <c r="C14" i="4"/>
  <c r="C15" i="4"/>
  <c r="C58" i="6" l="1"/>
  <c r="E58" i="6" s="1"/>
  <c r="D38" i="6"/>
  <c r="D29" i="6"/>
  <c r="D37" i="6" s="1"/>
  <c r="D55" i="6"/>
  <c r="C57" i="6"/>
  <c r="E57" i="6" s="1"/>
  <c r="D58" i="6"/>
  <c r="C55" i="6"/>
  <c r="D56" i="6"/>
  <c r="C54" i="6"/>
  <c r="D54" i="6"/>
  <c r="C56" i="6"/>
  <c r="D61" i="6"/>
  <c r="C61" i="6"/>
  <c r="C60" i="6"/>
  <c r="D24" i="2"/>
  <c r="D37" i="2" s="1"/>
  <c r="D59" i="6"/>
  <c r="D28" i="6"/>
  <c r="D46" i="6"/>
  <c r="D23" i="2"/>
  <c r="D36" i="2" s="1"/>
  <c r="D39" i="2" s="1"/>
  <c r="D60" i="6"/>
  <c r="C59" i="6"/>
  <c r="C29" i="3"/>
  <c r="B40" i="3"/>
  <c r="D40" i="3" s="1"/>
  <c r="C28" i="3"/>
  <c r="B38" i="3"/>
  <c r="D38" i="3" s="1"/>
  <c r="C30" i="3"/>
  <c r="B39" i="3"/>
  <c r="D39" i="3" s="1"/>
  <c r="C31" i="3"/>
  <c r="C27" i="3"/>
  <c r="B37" i="3"/>
  <c r="D37" i="3" s="1"/>
  <c r="D30" i="3"/>
  <c r="C32" i="3"/>
  <c r="D31" i="3"/>
  <c r="B41" i="3"/>
  <c r="D41" i="3" s="1"/>
  <c r="E36" i="3"/>
  <c r="B36" i="3"/>
  <c r="D36" i="3" s="1"/>
  <c r="D32" i="3"/>
  <c r="D29" i="3"/>
  <c r="E37" i="3"/>
  <c r="E41" i="3"/>
  <c r="D27" i="3"/>
  <c r="E39" i="3"/>
  <c r="E40" i="3"/>
  <c r="E38" i="3"/>
  <c r="D28" i="3"/>
  <c r="C17" i="4"/>
  <c r="F25" i="5"/>
  <c r="F23" i="5"/>
  <c r="F21" i="5"/>
  <c r="F19" i="5"/>
  <c r="F17" i="5"/>
  <c r="F15" i="5"/>
  <c r="F13" i="5"/>
  <c r="F24" i="5"/>
  <c r="F22" i="5"/>
  <c r="F20" i="5"/>
  <c r="F18" i="5"/>
  <c r="F16" i="5"/>
  <c r="F14" i="5"/>
  <c r="F12" i="5"/>
  <c r="F11" i="5"/>
  <c r="D39" i="6" l="1"/>
  <c r="E56" i="6"/>
  <c r="G39" i="3"/>
  <c r="H39" i="3" s="1"/>
  <c r="E60" i="6"/>
  <c r="E55" i="6"/>
  <c r="E54" i="6"/>
  <c r="G41" i="3"/>
  <c r="H41" i="3" s="1"/>
  <c r="F30" i="3"/>
  <c r="E61" i="6"/>
  <c r="D25" i="2"/>
  <c r="D30" i="6"/>
  <c r="E59" i="6"/>
  <c r="G38" i="3"/>
  <c r="H38" i="3" s="1"/>
  <c r="F32" i="3"/>
  <c r="I32" i="3" s="1"/>
  <c r="F28" i="3"/>
  <c r="G28" i="3" s="1"/>
  <c r="H28" i="3" s="1"/>
  <c r="J28" i="3" s="1"/>
  <c r="I28" i="3"/>
  <c r="G40" i="3"/>
  <c r="H40" i="3" s="1"/>
  <c r="I30" i="3"/>
  <c r="G30" i="3"/>
  <c r="H30" i="3" s="1"/>
  <c r="J30" i="3" s="1"/>
  <c r="C18" i="4"/>
  <c r="C19" i="4"/>
  <c r="C29" i="4" s="1"/>
  <c r="E29" i="4" s="1"/>
  <c r="D42" i="2"/>
  <c r="D43" i="2" s="1"/>
  <c r="D40" i="2"/>
  <c r="D41" i="2" s="1"/>
  <c r="G37" i="3"/>
  <c r="H37" i="3" s="1"/>
  <c r="F29" i="3"/>
  <c r="D27" i="2"/>
  <c r="D28" i="2" s="1"/>
  <c r="D48" i="2" s="1"/>
  <c r="D29" i="2"/>
  <c r="D30" i="2" s="1"/>
  <c r="F27" i="3"/>
  <c r="G36" i="3"/>
  <c r="F31" i="3"/>
  <c r="G32" i="3" l="1"/>
  <c r="H32" i="3" s="1"/>
  <c r="J32" i="3" s="1"/>
  <c r="C20" i="4"/>
  <c r="C38" i="4" s="1"/>
  <c r="E38" i="4" s="1"/>
  <c r="C27" i="4"/>
  <c r="E27" i="4" s="1"/>
  <c r="D32" i="2"/>
  <c r="D31" i="2"/>
  <c r="G29" i="3"/>
  <c r="H29" i="3" s="1"/>
  <c r="J29" i="3" s="1"/>
  <c r="I29" i="3"/>
  <c r="C6" i="4"/>
  <c r="D49" i="2"/>
  <c r="I27" i="3"/>
  <c r="G27" i="3"/>
  <c r="I31" i="3"/>
  <c r="G31" i="3"/>
  <c r="H31" i="3" s="1"/>
  <c r="J31" i="3" s="1"/>
  <c r="D44" i="2"/>
  <c r="D52" i="2"/>
  <c r="C5" i="4" s="1"/>
  <c r="B49" i="3"/>
  <c r="H36" i="3"/>
  <c r="B47" i="3" l="1"/>
  <c r="D6" i="4" s="1"/>
  <c r="F6" i="4" s="1"/>
  <c r="D51" i="2"/>
  <c r="D50" i="2"/>
  <c r="B51" i="3"/>
  <c r="B50" i="3"/>
  <c r="D53" i="2"/>
  <c r="D54" i="2"/>
  <c r="D55" i="2"/>
  <c r="C7" i="4"/>
  <c r="B45" i="3"/>
  <c r="H27" i="3"/>
  <c r="G28" i="4" l="1"/>
  <c r="G45" i="4"/>
  <c r="E6" i="4"/>
  <c r="B46" i="3"/>
  <c r="D5" i="4" s="1"/>
  <c r="J27" i="3"/>
  <c r="B48" i="3" s="1"/>
  <c r="D7" i="4" s="1"/>
  <c r="F7" i="4" s="1"/>
  <c r="G37" i="4" s="1"/>
  <c r="C45" i="4" l="1"/>
  <c r="E45" i="4" s="1"/>
  <c r="C28" i="4"/>
  <c r="E28" i="4" s="1"/>
  <c r="F5" i="4"/>
  <c r="G26" i="4" s="1"/>
  <c r="E5" i="4"/>
  <c r="C26" i="4" s="1"/>
  <c r="E26" i="4" s="1"/>
  <c r="E7" i="4"/>
  <c r="C37" i="4" s="1"/>
  <c r="E37" i="4" s="1"/>
  <c r="C6" i="6" l="1"/>
  <c r="D20" i="6" s="1"/>
  <c r="C6" i="5"/>
  <c r="C5" i="6"/>
  <c r="D22" i="6" s="1"/>
  <c r="D23" i="6" s="1"/>
  <c r="D31" i="6" s="1"/>
  <c r="C5" i="5"/>
  <c r="C19" i="5" l="1"/>
  <c r="C16" i="5"/>
  <c r="C17" i="5"/>
  <c r="C14" i="5"/>
  <c r="C15" i="5"/>
  <c r="C12" i="5"/>
  <c r="C13" i="5"/>
  <c r="C25" i="5"/>
  <c r="C22" i="5"/>
  <c r="C11" i="5"/>
  <c r="C24" i="5"/>
  <c r="C23" i="5"/>
  <c r="C20" i="5"/>
  <c r="C21" i="5"/>
  <c r="C18" i="5"/>
  <c r="F56" i="6"/>
  <c r="G56" i="6" s="1"/>
  <c r="H56" i="6" s="1"/>
  <c r="F57" i="6"/>
  <c r="G57" i="6" s="1"/>
  <c r="H57" i="6" s="1"/>
  <c r="F59" i="6"/>
  <c r="G59" i="6" s="1"/>
  <c r="H59" i="6" s="1"/>
  <c r="F58" i="6"/>
  <c r="G58" i="6" s="1"/>
  <c r="H58" i="6" s="1"/>
  <c r="D40" i="6"/>
  <c r="F60" i="6"/>
  <c r="G60" i="6" s="1"/>
  <c r="H60" i="6" s="1"/>
  <c r="F54" i="6"/>
  <c r="G54" i="6" s="1"/>
  <c r="H54" i="6" s="1"/>
  <c r="F61" i="6"/>
  <c r="G61" i="6" s="1"/>
  <c r="H61" i="6" s="1"/>
  <c r="D47" i="6"/>
  <c r="D48" i="6" s="1"/>
  <c r="D49" i="6" s="1"/>
  <c r="D50" i="6" s="1"/>
  <c r="F55" i="6"/>
  <c r="G55" i="6" s="1"/>
  <c r="H55" i="6" s="1"/>
  <c r="D23" i="5"/>
  <c r="E23" i="5" s="1"/>
  <c r="H23" i="5" s="1"/>
  <c r="D24" i="5"/>
  <c r="E24" i="5" s="1"/>
  <c r="H24" i="5" s="1"/>
  <c r="D22" i="5"/>
  <c r="D20" i="5"/>
  <c r="E20" i="5" s="1"/>
  <c r="H20" i="5" s="1"/>
  <c r="D18" i="5"/>
  <c r="D16" i="5"/>
  <c r="E16" i="5" s="1"/>
  <c r="H16" i="5" s="1"/>
  <c r="D14" i="5"/>
  <c r="E14" i="5" s="1"/>
  <c r="H14" i="5" s="1"/>
  <c r="D12" i="5"/>
  <c r="D11" i="5"/>
  <c r="E11" i="5" s="1"/>
  <c r="H11" i="5" s="1"/>
  <c r="D25" i="5"/>
  <c r="D21" i="5"/>
  <c r="D19" i="5"/>
  <c r="D13" i="5"/>
  <c r="D15" i="5"/>
  <c r="E15" i="5" s="1"/>
  <c r="H15" i="5" s="1"/>
  <c r="D17" i="5"/>
  <c r="E17" i="5" s="1"/>
  <c r="H17" i="5" s="1"/>
  <c r="D33" i="6"/>
  <c r="D32" i="6"/>
  <c r="E19" i="5" l="1"/>
  <c r="H19" i="5" s="1"/>
  <c r="E22" i="5"/>
  <c r="H22" i="5" s="1"/>
  <c r="I22" i="5" s="1"/>
  <c r="D42" i="6"/>
  <c r="D41" i="6"/>
  <c r="E18" i="5"/>
  <c r="H18" i="5" s="1"/>
  <c r="I18" i="5" s="1"/>
  <c r="E21" i="5"/>
  <c r="H21" i="5" s="1"/>
  <c r="J21" i="5" s="1"/>
  <c r="E13" i="5"/>
  <c r="H13" i="5" s="1"/>
  <c r="I13" i="5" s="1"/>
  <c r="E25" i="5"/>
  <c r="H25" i="5" s="1"/>
  <c r="I25" i="5" s="1"/>
  <c r="E12" i="5"/>
  <c r="H12" i="5" s="1"/>
  <c r="I12" i="5" s="1"/>
  <c r="J16" i="5"/>
  <c r="I16" i="5"/>
  <c r="J14" i="5"/>
  <c r="I14" i="5"/>
  <c r="J19" i="5"/>
  <c r="I19" i="5"/>
  <c r="J22" i="5"/>
  <c r="J15" i="5"/>
  <c r="I15" i="5"/>
  <c r="J18" i="5"/>
  <c r="J24" i="5"/>
  <c r="I24" i="5"/>
  <c r="J17" i="5"/>
  <c r="I17" i="5"/>
  <c r="J20" i="5"/>
  <c r="I20" i="5"/>
  <c r="L20" i="5" s="1"/>
  <c r="J11" i="5"/>
  <c r="I11" i="5"/>
  <c r="J23" i="5"/>
  <c r="I23" i="5"/>
  <c r="L15" i="5" l="1"/>
  <c r="L23" i="5"/>
  <c r="J12" i="5"/>
  <c r="I21" i="5"/>
  <c r="L21" i="5" s="1"/>
  <c r="L14" i="5"/>
  <c r="J25" i="5"/>
  <c r="J13" i="5"/>
  <c r="C36" i="5"/>
  <c r="L17" i="5"/>
  <c r="L12" i="5"/>
  <c r="M12" i="5" s="1"/>
  <c r="L13" i="5"/>
  <c r="L19" i="5"/>
  <c r="L16" i="5"/>
  <c r="L24" i="5"/>
  <c r="L25" i="5"/>
  <c r="L18" i="5"/>
  <c r="L22" i="5" l="1"/>
  <c r="M13" i="5"/>
  <c r="M14" i="5" s="1"/>
  <c r="M15" i="5" s="1"/>
  <c r="C29" i="5" s="1"/>
  <c r="M16" i="5"/>
  <c r="M17" i="5" s="1"/>
  <c r="C30" i="5" l="1"/>
  <c r="M18" i="5"/>
  <c r="M19" i="5" s="1"/>
  <c r="C31" i="5" l="1"/>
  <c r="M20" i="5"/>
  <c r="M21" i="5" s="1"/>
  <c r="C32" i="5" l="1"/>
  <c r="M22" i="5"/>
  <c r="M23" i="5" s="1"/>
  <c r="C33" i="5" l="1"/>
  <c r="M24" i="5"/>
  <c r="M25" i="5" s="1"/>
  <c r="C34" i="5" s="1"/>
</calcChain>
</file>

<file path=xl/sharedStrings.xml><?xml version="1.0" encoding="utf-8"?>
<sst xmlns="http://schemas.openxmlformats.org/spreadsheetml/2006/main" count="1003" uniqueCount="558">
  <si>
    <t>Legend:  Blue text = User Inputs  |  Green fill = Calculated  |  Yellow fill = Input Cells</t>
  </si>
  <si>
    <t>VEHICLE CONFIGURATION</t>
  </si>
  <si>
    <t>Parameter</t>
  </si>
  <si>
    <t>Symbol</t>
  </si>
  <si>
    <t>Unit</t>
  </si>
  <si>
    <t>Value</t>
  </si>
  <si>
    <t>Notes</t>
  </si>
  <si>
    <t>Remarks</t>
  </si>
  <si>
    <t>Seating Capacity</t>
  </si>
  <si>
    <t>n</t>
  </si>
  <si>
    <t>persons</t>
  </si>
  <si>
    <t>Number of occupants the vehicle is designed to carry</t>
  </si>
  <si>
    <t>Passenger Weight (per person)</t>
  </si>
  <si>
    <t>m_p</t>
  </si>
  <si>
    <t>kg</t>
  </si>
  <si>
    <t>Average weight assumed per occupant</t>
  </si>
  <si>
    <t>Max Speed (flat terrain)</t>
  </si>
  <si>
    <t>v_max</t>
  </si>
  <si>
    <t>km/h</t>
  </si>
  <si>
    <t>Maximum vehicle speed on level ground</t>
  </si>
  <si>
    <t>Target Range</t>
  </si>
  <si>
    <t>R</t>
  </si>
  <si>
    <t>km</t>
  </si>
  <si>
    <t>Desired driving range on a single charge</t>
  </si>
  <si>
    <t>WEIGHT SPECIFICATIONS</t>
  </si>
  <si>
    <t>Dry Weight (without battery)</t>
  </si>
  <si>
    <t>m_dry</t>
  </si>
  <si>
    <t>Vehicle weight excluding battery pack</t>
  </si>
  <si>
    <t>LFP Pack Energy Density Factor</t>
  </si>
  <si>
    <t>k_lfp</t>
  </si>
  <si>
    <t>kg/kWh</t>
  </si>
  <si>
    <t>Battery Pack Weight</t>
  </si>
  <si>
    <t>m_batt</t>
  </si>
  <si>
    <t>k_lfp × E_batt</t>
  </si>
  <si>
    <t>Derived from energy capacity and LFP weight factor</t>
  </si>
  <si>
    <t>Curb Weight</t>
  </si>
  <si>
    <t>m_curb</t>
  </si>
  <si>
    <t>m_dry + m_batt</t>
  </si>
  <si>
    <t>Total vehicle weight without passengers</t>
  </si>
  <si>
    <t>Total Passenger Weight</t>
  </si>
  <si>
    <t>m_pass</t>
  </si>
  <si>
    <t>n × m_p</t>
  </si>
  <si>
    <t>Combined weight of all occupants</t>
  </si>
  <si>
    <t>Gross Vehicle Weight (GVW)</t>
  </si>
  <si>
    <t>GVW</t>
  </si>
  <si>
    <t>m_curb + m_pass</t>
  </si>
  <si>
    <t>Maximum loaded vehicle weight</t>
  </si>
  <si>
    <t>BATTERY SPECIFICATIONS</t>
  </si>
  <si>
    <t>Battery Chemistry</t>
  </si>
  <si>
    <t>—</t>
  </si>
  <si>
    <t>LFP</t>
  </si>
  <si>
    <t>Battery cell chemistry type</t>
  </si>
  <si>
    <t>Nominal Voltage</t>
  </si>
  <si>
    <t>V_batt</t>
  </si>
  <si>
    <t>V</t>
  </si>
  <si>
    <t>Total pack voltage based on cell count and series config</t>
  </si>
  <si>
    <t>Capacity</t>
  </si>
  <si>
    <t>C_batt</t>
  </si>
  <si>
    <t>Ah</t>
  </si>
  <si>
    <t>Total pack amp-hour capacity</t>
  </si>
  <si>
    <t>Energy Capacity</t>
  </si>
  <si>
    <t>E_batt</t>
  </si>
  <si>
    <t>kWh</t>
  </si>
  <si>
    <t>v × Ah / 1000</t>
  </si>
  <si>
    <t>Total stored energy in the battery pack</t>
  </si>
  <si>
    <t>Usable Energy (80% DOD)</t>
  </si>
  <si>
    <t>E_use</t>
  </si>
  <si>
    <t>e_batt × DOD</t>
  </si>
  <si>
    <t>Energy available for driving after depth-of-discharge limit</t>
  </si>
  <si>
    <t>DRIVETRAIN PARAMETERS</t>
  </si>
  <si>
    <t>r</t>
  </si>
  <si>
    <t>m</t>
  </si>
  <si>
    <t>Gear Ratio (Transaxle)</t>
  </si>
  <si>
    <t>i</t>
  </si>
  <si>
    <t>:1</t>
  </si>
  <si>
    <t>Motor-to-wheel speed reduction ratio</t>
  </si>
  <si>
    <t>Powertrain Efficiency</t>
  </si>
  <si>
    <t>η</t>
  </si>
  <si>
    <t>Combined motor and gearbox efficiency</t>
  </si>
  <si>
    <t>Rolling Resistance Coeff</t>
  </si>
  <si>
    <t>Crr</t>
  </si>
  <si>
    <t>Gravity</t>
  </si>
  <si>
    <t>g</t>
  </si>
  <si>
    <t>m/s²</t>
  </si>
  <si>
    <t>Gravitational acceleration constant</t>
  </si>
  <si>
    <t>GRADEABILITY &amp; OPERATING CONDITIONS</t>
  </si>
  <si>
    <t>Gradeability Angle</t>
  </si>
  <si>
    <t>θ_grade</t>
  </si>
  <si>
    <t>degrees</t>
  </si>
  <si>
    <t>Maximum slope angle the vehicle must handle</t>
  </si>
  <si>
    <t>Target Speed on Grade</t>
  </si>
  <si>
    <t>v_grade</t>
  </si>
  <si>
    <t>Minimum speed to maintain while climbing</t>
  </si>
  <si>
    <t>Grade Climb Duration</t>
  </si>
  <si>
    <t>t_climb</t>
  </si>
  <si>
    <t>min</t>
  </si>
  <si>
    <t>Maximum continuous climbing duration for sizing</t>
  </si>
  <si>
    <t>Duty Cycle Derating</t>
  </si>
  <si>
    <t>k_duty</t>
  </si>
  <si>
    <t>Thermal derating factor based on climb duration</t>
  </si>
  <si>
    <t>Startup Acceleration</t>
  </si>
  <si>
    <t>a_start</t>
  </si>
  <si>
    <t>Acceleration for hill start from standstill</t>
  </si>
  <si>
    <t>Static Friction Factor</t>
  </si>
  <si>
    <t>k_static</t>
  </si>
  <si>
    <t>Ratio of static to rolling friction for breakaway</t>
  </si>
  <si>
    <t>Grade %</t>
  </si>
  <si>
    <t>%</t>
  </si>
  <si>
    <t>TAN(θ)×100</t>
  </si>
  <si>
    <t>Grade expressed as percentage slope</t>
  </si>
  <si>
    <t>VEHICLE DIMENSIONS</t>
  </si>
  <si>
    <t>Vehicle Width</t>
  </si>
  <si>
    <t>W</t>
  </si>
  <si>
    <t>Overall body width</t>
  </si>
  <si>
    <t>Vehicle Height</t>
  </si>
  <si>
    <t>H</t>
  </si>
  <si>
    <t>Overall body height</t>
  </si>
  <si>
    <t>Ground Clearance</t>
  </si>
  <si>
    <t>h_gc</t>
  </si>
  <si>
    <t>Clearance between ground and lowest body point</t>
  </si>
  <si>
    <t>Frontal Area</t>
  </si>
  <si>
    <t>A_f</t>
  </si>
  <si>
    <t>m²</t>
  </si>
  <si>
    <t>w × (H - GC)</t>
  </si>
  <si>
    <t>Projected frontal area seen by oncoming air</t>
  </si>
  <si>
    <t>AERODYNAMIC PARAMETERS</t>
  </si>
  <si>
    <t>Air Density</t>
  </si>
  <si>
    <t>ρ</t>
  </si>
  <si>
    <t>kg/m³</t>
  </si>
  <si>
    <t>Standard air density at sea level</t>
  </si>
  <si>
    <t>Drag Coefficient</t>
  </si>
  <si>
    <t>Cd</t>
  </si>
  <si>
    <t>Aerodynamic shape factor of the vehicle</t>
  </si>
  <si>
    <t>ACCELERATION TARGETS (Cumulative Time from Standstill)</t>
  </si>
  <si>
    <t>Target Speed (km/h)</t>
  </si>
  <si>
    <t>Cumulative Time (s)</t>
  </si>
  <si>
    <t>Segment Time (s)</t>
  </si>
  <si>
    <t>Segment Accel (m/s²)</t>
  </si>
  <si>
    <t>First segment from standstill</t>
  </si>
  <si>
    <t>User sets cumulative time to reach this speed</t>
  </si>
  <si>
    <t>Time increment derived from cumulative inputs</t>
  </si>
  <si>
    <t>ACCELERATION ASSUMPTIONS</t>
  </si>
  <si>
    <t>Acceleration Mass (driver only)</t>
  </si>
  <si>
    <t>m_accel</t>
  </si>
  <si>
    <t>m_curb + 1 driver</t>
  </si>
  <si>
    <t>Vehicle mass used for peak acceleration calculations</t>
  </si>
  <si>
    <t>Gradeability calculations for a single grade angle. All inputs linked from Vehicle Specs.</t>
  </si>
  <si>
    <t>LINKED INPUT PARAMETERS</t>
  </si>
  <si>
    <t>Source</t>
  </si>
  <si>
    <t>Gross Vehicle Weight</t>
  </si>
  <si>
    <t>Vehicle Specs</t>
  </si>
  <si>
    <t>Full vehicle mass used for grade calculations</t>
  </si>
  <si>
    <t>Battery Voltage</t>
  </si>
  <si>
    <t>System voltage for current calculations</t>
  </si>
  <si>
    <t>Wheel Radius</t>
  </si>
  <si>
    <t>Gear Ratio</t>
  </si>
  <si>
    <t>Motor-to-wheel reduction ratio</t>
  </si>
  <si>
    <t>Combined drivetrain efficiency</t>
  </si>
  <si>
    <t>Rolling Resistance</t>
  </si>
  <si>
    <t>Gravitational acceleration</t>
  </si>
  <si>
    <t>Grade Angle</t>
  </si>
  <si>
    <t>θ</t>
  </si>
  <si>
    <t>°</t>
  </si>
  <si>
    <t>Slope angle for gradeability sizing</t>
  </si>
  <si>
    <t>Speed on Grade</t>
  </si>
  <si>
    <t>v</t>
  </si>
  <si>
    <t>Target climbing speed</t>
  </si>
  <si>
    <t>Duty Cycle Factor</t>
  </si>
  <si>
    <t>Thermal derating based on climb duration</t>
  </si>
  <si>
    <t>a</t>
  </si>
  <si>
    <t>Acceleration for starting from rest on slope</t>
  </si>
  <si>
    <t>Breakaway friction multiplier vs rolling</t>
  </si>
  <si>
    <t>SUSTAINED CLIMBING (Constant Speed on Grade)</t>
  </si>
  <si>
    <t>rad</t>
  </si>
  <si>
    <t>Grade angle converted to radians for trig functions</t>
  </si>
  <si>
    <t>sin(θ)</t>
  </si>
  <si>
    <t>Sine component for gravity force along slope</t>
  </si>
  <si>
    <t>cos(θ)</t>
  </si>
  <si>
    <t>Cosine component for normal force on slope</t>
  </si>
  <si>
    <t>Grade Resistance</t>
  </si>
  <si>
    <t>Fg</t>
  </si>
  <si>
    <t>N</t>
  </si>
  <si>
    <t>gvw×g×sin(θ)</t>
  </si>
  <si>
    <t>Force of gravity pulling vehicle down the slope</t>
  </si>
  <si>
    <t>Fr</t>
  </si>
  <si>
    <t>gvw×g×Crr×cos(θ)</t>
  </si>
  <si>
    <t>Total Tractive Force (Climb)</t>
  </si>
  <si>
    <t>Ft</t>
  </si>
  <si>
    <t>fg+fr</t>
  </si>
  <si>
    <t>Combined resistance force during steady climbing</t>
  </si>
  <si>
    <t>Speed</t>
  </si>
  <si>
    <t>m/s</t>
  </si>
  <si>
    <t>Climbing speed converted to m/s</t>
  </si>
  <si>
    <t>Wheel Torque</t>
  </si>
  <si>
    <t>Tw</t>
  </si>
  <si>
    <t>Nm</t>
  </si>
  <si>
    <t>ft×r</t>
  </si>
  <si>
    <t>Torque required at the wheel to overcome climb forces</t>
  </si>
  <si>
    <t>Motor Torque (Sustained)</t>
  </si>
  <si>
    <t>Tm_climb</t>
  </si>
  <si>
    <t>tw/(i×η))</t>
  </si>
  <si>
    <t>Motor shaft torque for sustained climbing</t>
  </si>
  <si>
    <t>Power at Wheel</t>
  </si>
  <si>
    <t>Pw</t>
  </si>
  <si>
    <t>ft×v</t>
  </si>
  <si>
    <t>Mechanical power at wheel surface</t>
  </si>
  <si>
    <t>Electrical Power (Climb)</t>
  </si>
  <si>
    <t>Pe_climb</t>
  </si>
  <si>
    <t>pw/η</t>
  </si>
  <si>
    <t>Electrical power drawn from battery during climb</t>
  </si>
  <si>
    <t>kW</t>
  </si>
  <si>
    <t>Same as above in kilowatts</t>
  </si>
  <si>
    <t>Motor Current (Climb)</t>
  </si>
  <si>
    <t>I_climb</t>
  </si>
  <si>
    <t>A</t>
  </si>
  <si>
    <t>pe/v</t>
  </si>
  <si>
    <t>Battery current during sustained climbing</t>
  </si>
  <si>
    <t>STARTUP ON GRADE (Peak — Starting from Standstill)</t>
  </si>
  <si>
    <t>Grade Force</t>
  </si>
  <si>
    <t>Same gravity component as sustained climb</t>
  </si>
  <si>
    <t>Rolling (Static)</t>
  </si>
  <si>
    <t>Fr_s</t>
  </si>
  <si>
    <t>fr×k_static</t>
  </si>
  <si>
    <t>Higher breakaway friction when starting from rest</t>
  </si>
  <si>
    <t>Acceleration Force</t>
  </si>
  <si>
    <t>Fa</t>
  </si>
  <si>
    <t>gvw×a</t>
  </si>
  <si>
    <t>Force needed to accelerate from standstill on slope</t>
  </si>
  <si>
    <t>Peak Tractive Force</t>
  </si>
  <si>
    <t>Ft_peak</t>
  </si>
  <si>
    <t>fg+fr_s+fa</t>
  </si>
  <si>
    <t>Total force for worst-case hill start</t>
  </si>
  <si>
    <t>Peak Wheel Torque</t>
  </si>
  <si>
    <t>Tw_peak</t>
  </si>
  <si>
    <t>ft_peak×r</t>
  </si>
  <si>
    <t>Wheel torque for hill start</t>
  </si>
  <si>
    <t>Peak Motor Torque</t>
  </si>
  <si>
    <t>Tm_peak</t>
  </si>
  <si>
    <t>Motor shaft torque for hill start</t>
  </si>
  <si>
    <t>Peak Power</t>
  </si>
  <si>
    <t>Pp</t>
  </si>
  <si>
    <t>ft_peak×v</t>
  </si>
  <si>
    <t>Instantaneous mechanical power for hill start</t>
  </si>
  <si>
    <t>Peak Elec Power</t>
  </si>
  <si>
    <t>Pe_peak</t>
  </si>
  <si>
    <t>pp/η</t>
  </si>
  <si>
    <t>Electrical power for hill start</t>
  </si>
  <si>
    <t>Peak Current</t>
  </si>
  <si>
    <t>I_peak</t>
  </si>
  <si>
    <t>pe_peak/v</t>
  </si>
  <si>
    <t>Battery current for hill start</t>
  </si>
  <si>
    <t>GRADEABILITY REQUIREMENTS SUMMARY</t>
  </si>
  <si>
    <t>Motor Torque (Sustained Climb, 5 min)</t>
  </si>
  <si>
    <t>Tm_cont</t>
  </si>
  <si>
    <t>Torque for continuous climbing at grade speed</t>
  </si>
  <si>
    <t>Motor Torque (Startup, 10 sec)</t>
  </si>
  <si>
    <t>Peak torque for starting from rest on slope</t>
  </si>
  <si>
    <t>Motor Power (Sustained, 5 min)</t>
  </si>
  <si>
    <t>Pm_cont</t>
  </si>
  <si>
    <t>pe×k_duty</t>
  </si>
  <si>
    <t>Climb power derated for thermal duty cycle</t>
  </si>
  <si>
    <t>Motor Power (Climb, 1-2 min)</t>
  </si>
  <si>
    <t>Pm_climb</t>
  </si>
  <si>
    <t>Actual electrical power during climbing</t>
  </si>
  <si>
    <t>Motor Power (Startup, 10 sec)</t>
  </si>
  <si>
    <t>Pm_startup</t>
  </si>
  <si>
    <t>Peak power for hill start scenario</t>
  </si>
  <si>
    <t>Motor Current (Sustained, 5 min)</t>
  </si>
  <si>
    <t>Im_cont</t>
  </si>
  <si>
    <t>i×k_duty</t>
  </si>
  <si>
    <t>Derated current for thermal rating</t>
  </si>
  <si>
    <t>Motor Current (Climb, 1-2 min)</t>
  </si>
  <si>
    <t>Im_climb</t>
  </si>
  <si>
    <t>Current during active climbing</t>
  </si>
  <si>
    <t>Motor Current (Startup, 10 sec)</t>
  </si>
  <si>
    <t>Im_peak</t>
  </si>
  <si>
    <t>Peak current for hill start</t>
  </si>
  <si>
    <t>Acceleration power calculations. All inputs linked from Vehicle Specs.</t>
  </si>
  <si>
    <t>Acceleration Mass</t>
  </si>
  <si>
    <t>Vehicle mass for acceleration (driver only)</t>
  </si>
  <si>
    <t>System voltage for current calculation</t>
  </si>
  <si>
    <t>Standard air density</t>
  </si>
  <si>
    <t>Aerodynamic shape factor</t>
  </si>
  <si>
    <t>Projected frontal area</t>
  </si>
  <si>
    <t>ACCELERATION PROFILE (from Vehicle Specs)</t>
  </si>
  <si>
    <t>Segment</t>
  </si>
  <si>
    <t>Start (km/h)</t>
  </si>
  <si>
    <t>End (km/h)</t>
  </si>
  <si>
    <t>Seg Time (s)</t>
  </si>
  <si>
    <t>Seg Accel (m/s²)</t>
  </si>
  <si>
    <t>Start (m/s)</t>
  </si>
  <si>
    <t>End (m/s)</t>
  </si>
  <si>
    <t>Segment 1</t>
  </si>
  <si>
    <t>Speed segment linked from acceleration targets</t>
  </si>
  <si>
    <t>Segment 2</t>
  </si>
  <si>
    <t>Segment 3</t>
  </si>
  <si>
    <t>Segment 4</t>
  </si>
  <si>
    <t>Segment 5</t>
  </si>
  <si>
    <t>Segment 6</t>
  </si>
  <si>
    <t>FORCE &amp; POWER AT SEGMENT END SPEED</t>
  </si>
  <si>
    <t>End Speed (m/s)</t>
  </si>
  <si>
    <t>F_accel (N)</t>
  </si>
  <si>
    <t>F_roll (N)</t>
  </si>
  <si>
    <t>F_aero (N)</t>
  </si>
  <si>
    <t>F_total (N)</t>
  </si>
  <si>
    <t>P_mech (kW)</t>
  </si>
  <si>
    <t>P_elec (kW)</t>
  </si>
  <si>
    <t>Motor Torque (Nm)</t>
  </si>
  <si>
    <t>Motor Current (A)</t>
  </si>
  <si>
    <t>Forces and power at segment end speed</t>
  </si>
  <si>
    <t>AVERAGE POWER PER SEGMENT (Energy Method)</t>
  </si>
  <si>
    <t>ΔKE (J)</t>
  </si>
  <si>
    <t>P_accel (kW)</t>
  </si>
  <si>
    <t>P_roll_avg (kW)</t>
  </si>
  <si>
    <t>P_aero_avg (kW)</t>
  </si>
  <si>
    <t>P_mech_avg (kW)</t>
  </si>
  <si>
    <t>P_elec_avg (kW)</t>
  </si>
  <si>
    <t>Average power using kinetic energy method</t>
  </si>
  <si>
    <t>ACCELERATION POWER SUMMARY</t>
  </si>
  <si>
    <t>Peak Instantaneous Mech Power</t>
  </si>
  <si>
    <t>Max across all segments</t>
  </si>
  <si>
    <t>Highest mechanical power at any segment end speed</t>
  </si>
  <si>
    <t>Peak Instantaneous Elec Power</t>
  </si>
  <si>
    <t>Highest electrical power at any segment end speed</t>
  </si>
  <si>
    <t>Peak Motor Torque (Accel)</t>
  </si>
  <si>
    <t>Highest motor torque during acceleration</t>
  </si>
  <si>
    <t>Peak Motor Current (Accel)</t>
  </si>
  <si>
    <t>Highest motor current during acceleration</t>
  </si>
  <si>
    <t>Peak Avg Mech Power (segment)</t>
  </si>
  <si>
    <t>Worst-case segment avg</t>
  </si>
  <si>
    <t>Highest average power in any single segment</t>
  </si>
  <si>
    <t>Peak Avg Elec Power (segment)</t>
  </si>
  <si>
    <t>Highest average electrical power in any segment</t>
  </si>
  <si>
    <t>Recommended Peak Motor Rating</t>
  </si>
  <si>
    <t>15% margin on avg elec</t>
  </si>
  <si>
    <t>Suggested minimum peak motor power rating</t>
  </si>
  <si>
    <t>Powertrain Statement of Requirements (SOR) — motor, controller, gearbox, and battery specifications.</t>
  </si>
  <si>
    <t>PEAK RATING — Motor Sizing (max across gradeability &amp; acceleration)</t>
  </si>
  <si>
    <t>Gradeability</t>
  </si>
  <si>
    <t>Acceleration</t>
  </si>
  <si>
    <t>PEAK (Max)</t>
  </si>
  <si>
    <t>Governed By</t>
  </si>
  <si>
    <t>Duration</t>
  </si>
  <si>
    <t>Margin</t>
  </si>
  <si>
    <t>10 sec</t>
  </si>
  <si>
    <t>Maximum power requirement across both scenarios</t>
  </si>
  <si>
    <t>Peak Torque</t>
  </si>
  <si>
    <t>Maximum torque requirement across both scenarios</t>
  </si>
  <si>
    <t>Maximum current requirement across both scenarios</t>
  </si>
  <si>
    <t>NOMINAL RATING — City Driving</t>
  </si>
  <si>
    <t>Formula</t>
  </si>
  <si>
    <t>Nominal Speed</t>
  </si>
  <si>
    <t>Typical city cruising speed for continuous rating</t>
  </si>
  <si>
    <t>Nominal Acceleration</t>
  </si>
  <si>
    <t>Gentle acceleration for everyday driving</t>
  </si>
  <si>
    <t>Vehicle Mass (GVW)</t>
  </si>
  <si>
    <t>Full passenger load for nominal calculations</t>
  </si>
  <si>
    <t>Nominal Accel Force</t>
  </si>
  <si>
    <t>m x a</t>
  </si>
  <si>
    <t>Force for gentle city acceleration</t>
  </si>
  <si>
    <t>Nominal Rolling Resistance</t>
  </si>
  <si>
    <t>Crr x m x g</t>
  </si>
  <si>
    <t>Rolling friction on flat road</t>
  </si>
  <si>
    <t>Nominal Aero Drag</t>
  </si>
  <si>
    <t>0.5*rho*Cd*Af*v^2</t>
  </si>
  <si>
    <t>Aerodynamic drag at city speed</t>
  </si>
  <si>
    <t>Nominal Total Force</t>
  </si>
  <si>
    <t>Sum of forces</t>
  </si>
  <si>
    <t>Total resistance force at city speed</t>
  </si>
  <si>
    <t>Nominal Elec Power</t>
  </si>
  <si>
    <t>F*v / eta</t>
  </si>
  <si>
    <t>Electrical power for city driving</t>
  </si>
  <si>
    <t>Nominal Motor Torque</t>
  </si>
  <si>
    <t>(F*r)/(eta*i)</t>
  </si>
  <si>
    <t>Motor torque for city driving</t>
  </si>
  <si>
    <t>Nominal Motor Current</t>
  </si>
  <si>
    <t>P / V</t>
  </si>
  <si>
    <t>Motor current for city driving</t>
  </si>
  <si>
    <t>RECOMMENDED MOTOR SPECIFICATIONS</t>
  </si>
  <si>
    <t>Required</t>
  </si>
  <si>
    <t>Rated Value</t>
  </si>
  <si>
    <t>Motor Type</t>
  </si>
  <si>
    <t>PMSM</t>
  </si>
  <si>
    <t>Permanent Magnet Synchronous Motor</t>
  </si>
  <si>
    <t>Rated Voltage</t>
  </si>
  <si>
    <t>Must match battery pack voltage</t>
  </si>
  <si>
    <t>15%</t>
  </si>
  <si>
    <t>Peak power with safety margin</t>
  </si>
  <si>
    <t>Nominal Power</t>
  </si>
  <si>
    <t>Continuous</t>
  </si>
  <si>
    <t>City driving</t>
  </si>
  <si>
    <t>Continuous thermal power rating</t>
  </si>
  <si>
    <t>Peak torque with safety margin</t>
  </si>
  <si>
    <t>Nominal Torque</t>
  </si>
  <si>
    <t>Continuous thermal torque rating</t>
  </si>
  <si>
    <t>Cooling</t>
  </si>
  <si>
    <t>Air Cooled</t>
  </si>
  <si>
    <t>Cooling method based on power level</t>
  </si>
  <si>
    <t>Protection</t>
  </si>
  <si>
    <t>IP67</t>
  </si>
  <si>
    <t>Ingress protection rating</t>
  </si>
  <si>
    <t>RECOMMENDED CONTROLLER SPECIFICATIONS</t>
  </si>
  <si>
    <t>Controller Type</t>
  </si>
  <si>
    <t>FOC</t>
  </si>
  <si>
    <t>Field Oriented Control for PMSM motors</t>
  </si>
  <si>
    <t>Operating Voltage</t>
  </si>
  <si>
    <t>Must match motor and battery voltage</t>
  </si>
  <si>
    <t>10%</t>
  </si>
  <si>
    <t>Peak current with margin, rounded up</t>
  </si>
  <si>
    <t>Nominal Current</t>
  </si>
  <si>
    <t>Continuous current rating</t>
  </si>
  <si>
    <t>Regen Braking</t>
  </si>
  <si>
    <t>Yes</t>
  </si>
  <si>
    <t>Regenerative braking capability</t>
  </si>
  <si>
    <t>RECOMMENDED GEARBOX / TRANSAXLE</t>
  </si>
  <si>
    <t>Type</t>
  </si>
  <si>
    <t>Single Speed</t>
  </si>
  <si>
    <t>Fixed reduction gearbox</t>
  </si>
  <si>
    <t>Input Torque Capacity</t>
  </si>
  <si>
    <t>Must handle peak motor torque</t>
  </si>
  <si>
    <t>Axle Load Capacity</t>
  </si>
  <si>
    <t>Must support full vehicle weight</t>
  </si>
  <si>
    <t>Chemistry</t>
  </si>
  <si>
    <t>Battery cell chemistry</t>
  </si>
  <si>
    <t>Pack voltage</t>
  </si>
  <si>
    <t>Pack capacity</t>
  </si>
  <si>
    <t>Energy</t>
  </si>
  <si>
    <t>Total energy</t>
  </si>
  <si>
    <t>Usable energy after DOD limit</t>
  </si>
  <si>
    <t>Reverse acceleration check using rated motor specifications. Verifies achievable 0-70 km/h times.</t>
  </si>
  <si>
    <t>RATED MOTOR SPECIFICATIONS (from Powertrain Summary)</t>
  </si>
  <si>
    <t>Peak Motor Power (rated)</t>
  </si>
  <si>
    <t>Rated peak power from motor specs</t>
  </si>
  <si>
    <t>Peak Motor Torque (rated)</t>
  </si>
  <si>
    <t>Rated peak torque from motor specs</t>
  </si>
  <si>
    <t>SPEED-BY-SPEED REVERSE CALCULATION</t>
  </si>
  <si>
    <t>Speed (km/h)</t>
  </si>
  <si>
    <t>Speed (m/s)</t>
  </si>
  <si>
    <t>F_torque (N)</t>
  </si>
  <si>
    <t>F_power (N)</t>
  </si>
  <si>
    <t>F_avail (N)</t>
  </si>
  <si>
    <t>F_net (N)</t>
  </si>
  <si>
    <t>Accel (m/s²)</t>
  </si>
  <si>
    <t>Limiting</t>
  </si>
  <si>
    <t>Δv (m/s)</t>
  </si>
  <si>
    <t>Δt (s)</t>
  </si>
  <si>
    <t>Cumul Time (s)</t>
  </si>
  <si>
    <t>ACHIEVABLE ACCELERATION PERFORMANCE</t>
  </si>
  <si>
    <t>Target</t>
  </si>
  <si>
    <t>Achievable Time</t>
  </si>
  <si>
    <t>seconds</t>
  </si>
  <si>
    <t>0 → 20 km/h</t>
  </si>
  <si>
    <t>Time to reach 20 km/h with rated motor</t>
  </si>
  <si>
    <t>0 → 30 km/h</t>
  </si>
  <si>
    <t>Time to reach 30 km/h with rated motor</t>
  </si>
  <si>
    <t>0 → 40 km/h</t>
  </si>
  <si>
    <t>Time to reach 40 km/h with rated motor</t>
  </si>
  <si>
    <t>0 → 50 km/h</t>
  </si>
  <si>
    <t>Time to reach 50 km/h with rated motor</t>
  </si>
  <si>
    <t>0 → 60 km/h</t>
  </si>
  <si>
    <t>Time to reach 60 km/h with rated motor</t>
  </si>
  <si>
    <t>0 → 70 km/h</t>
  </si>
  <si>
    <t>Time to reach 70 km/h with rated motor</t>
  </si>
  <si>
    <t>Approx Top Speed</t>
  </si>
  <si>
    <t>Last speed where net force remains positive</t>
  </si>
  <si>
    <t>Gradeability verification using rated motor specifications. Checks if the selected motor can handle grade requirements.</t>
  </si>
  <si>
    <t>Rated peak power from SOR</t>
  </si>
  <si>
    <t>Rated peak torque from SOR</t>
  </si>
  <si>
    <t>GVW (full load)</t>
  </si>
  <si>
    <t>Design Grade Angle</t>
  </si>
  <si>
    <t>Target grade angle from vehicle specs</t>
  </si>
  <si>
    <t>Design Grade Speed</t>
  </si>
  <si>
    <t>Acceleration for hill start</t>
  </si>
  <si>
    <t>Breakaway friction multiplier</t>
  </si>
  <si>
    <t>AVAILABLE TRACTIVE FORCE FROM RATED MOTOR</t>
  </si>
  <si>
    <t>Max Tractive Force (torque)</t>
  </si>
  <si>
    <t>F_motor</t>
  </si>
  <si>
    <t>T*i*eta/r</t>
  </si>
  <si>
    <t>Maximum force at wheel from rated motor torque</t>
  </si>
  <si>
    <t>Grade Speed</t>
  </si>
  <si>
    <t>Target climbing speed in m/s</t>
  </si>
  <si>
    <t>Max Tractive Force (power)</t>
  </si>
  <si>
    <t>F_power</t>
  </si>
  <si>
    <t>P*eta/v</t>
  </si>
  <si>
    <t>Force limited by rated power at grade speed</t>
  </si>
  <si>
    <t>Available Tractive Force</t>
  </si>
  <si>
    <t>F_avail</t>
  </si>
  <si>
    <t>MIN(F_torque, F_power)</t>
  </si>
  <si>
    <t>Actual available force (lesser of torque and power limits)</t>
  </si>
  <si>
    <t>SUSTAINED CLIMBING VERIFICATION (at design grade)</t>
  </si>
  <si>
    <t>theta</t>
  </si>
  <si>
    <t>Design grade in radians</t>
  </si>
  <si>
    <t>GVW*g*sin(theta)</t>
  </si>
  <si>
    <t>Gravity force pulling vehicle down slope</t>
  </si>
  <si>
    <t>Crr*GVW*g*cos(theta)</t>
  </si>
  <si>
    <t>Rolling friction on grade</t>
  </si>
  <si>
    <t>Required Tractive Force (climb)</t>
  </si>
  <si>
    <t>Ft_req</t>
  </si>
  <si>
    <t>Fg + Fr</t>
  </si>
  <si>
    <t>Total resistance for sustained climbing</t>
  </si>
  <si>
    <t>Surplus Force</t>
  </si>
  <si>
    <t>F_surplus</t>
  </si>
  <si>
    <t>F_avail - Ft_req</t>
  </si>
  <si>
    <t>Positive = motor can handle the grade</t>
  </si>
  <si>
    <t>Torque Margin (climb)</t>
  </si>
  <si>
    <t>(surplus/required)*100</t>
  </si>
  <si>
    <t>Safety margin above minimum requirement</t>
  </si>
  <si>
    <t>Climb Verdict</t>
  </si>
  <si>
    <t>Whether rated motor meets sustained climb requirement</t>
  </si>
  <si>
    <t>STARTUP ON GRADE VERIFICATION (peak, starting from rest)</t>
  </si>
  <si>
    <t>Static Rolling Resistance</t>
  </si>
  <si>
    <t>Fr * k_static</t>
  </si>
  <si>
    <t>GVW * a_start</t>
  </si>
  <si>
    <t>Force to accelerate from standstill on slope</t>
  </si>
  <si>
    <t>Required Startup Force</t>
  </si>
  <si>
    <t>Ft_start</t>
  </si>
  <si>
    <t>Fg + Fr_s + Fa</t>
  </si>
  <si>
    <t>Surplus Force (startup)</t>
  </si>
  <si>
    <t>F_motor - Ft_start</t>
  </si>
  <si>
    <t>Positive = motor can start on grade</t>
  </si>
  <si>
    <t>Startup Margin</t>
  </si>
  <si>
    <t>Safety margin for hill start</t>
  </si>
  <si>
    <t>Startup Verdict</t>
  </si>
  <si>
    <t>Whether rated motor meets hill start requirement</t>
  </si>
  <si>
    <t>MAXIMUM ACHIEVABLE GRADE (with rated motor)</t>
  </si>
  <si>
    <t>Rolling Resistance (flat)</t>
  </si>
  <si>
    <t>Fr_0</t>
  </si>
  <si>
    <t>Crr*GVW*g</t>
  </si>
  <si>
    <t>Approx rolling resistance (cos ~ 1 for small angles)</t>
  </si>
  <si>
    <t>Force Available for Grade</t>
  </si>
  <si>
    <t>F_motor - Fr_0</t>
  </si>
  <si>
    <t>Motor force remaining after rolling resistance</t>
  </si>
  <si>
    <t>Max sin(theta)</t>
  </si>
  <si>
    <t>F_grade / (GVW*g)</t>
  </si>
  <si>
    <t>Maximum sine of achievable grade angle</t>
  </si>
  <si>
    <t>Max Grade Angle</t>
  </si>
  <si>
    <t>arcsin(max_sin)</t>
  </si>
  <si>
    <t>Maximum slope angle the motor can handle from torque alone</t>
  </si>
  <si>
    <t>Max Grade %</t>
  </si>
  <si>
    <t>tan(theta)*100</t>
  </si>
  <si>
    <t>Maximum grade as percentage slope</t>
  </si>
  <si>
    <t>GRADE-BY-GRADE CAPABILITY TABLE</t>
  </si>
  <si>
    <t>Grade (°)</t>
  </si>
  <si>
    <t>Grade (%)</t>
  </si>
  <si>
    <t>Fg (N)</t>
  </si>
  <si>
    <t>Fr (N)</t>
  </si>
  <si>
    <t>Ft_req (N)</t>
  </si>
  <si>
    <t>Surplus (N)</t>
  </si>
  <si>
    <t>Verdict</t>
  </si>
  <si>
    <t>Design grade angle</t>
  </si>
  <si>
    <t>Weight per unit energy at pack level for LFP chemistry (Modern packs achieve 5-5.5 kg/kWh or 200 Wh/kg)</t>
  </si>
  <si>
    <t>Wheel/Tyre Radius</t>
  </si>
  <si>
    <t>Effective tyre rolling radius</t>
  </si>
  <si>
    <t>Tyre-road friction coefficient</t>
  </si>
  <si>
    <t>Tyre friction force, reduced slightly on slopes</t>
  </si>
  <si>
    <t>tyre-road friction coefficient</t>
  </si>
  <si>
    <t>Effective rolling radius including tyre deformation</t>
  </si>
  <si>
    <t>Tyre-road rolling friction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</si>
</sst>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i/>
      <sz val="1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0"/>
      <color rgb="FF666666"/>
      <name val="Arial"/>
      <charset val="1"/>
    </font>
    <font>
      <sz val="11"/>
      <color rgb="FF008000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4472C4"/>
        <bgColor rgb="FF666666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2" xfId="0" applyFont="1" applyFill="1" applyBorder="1"/>
    <xf numFmtId="0" fontId="2" fillId="2" borderId="1" xfId="0" applyFont="1" applyFill="1" applyBorder="1"/>
    <xf numFmtId="0" fontId="1" fillId="0" borderId="0" xfId="0" applyFont="1" applyBorder="1"/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/>
    <xf numFmtId="0" fontId="5" fillId="4" borderId="1" xfId="0" applyFont="1" applyFill="1" applyBorder="1"/>
    <xf numFmtId="0" fontId="4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/>
    <xf numFmtId="0" fontId="4" fillId="6" borderId="1" xfId="0" applyFont="1" applyFill="1" applyBorder="1" applyAlignment="1">
      <alignment vertical="top" wrapText="1"/>
    </xf>
    <xf numFmtId="0" fontId="8" fillId="0" borderId="1" xfId="0" applyFont="1" applyBorder="1"/>
    <xf numFmtId="0" fontId="8" fillId="5" borderId="1" xfId="0" applyFont="1" applyFill="1" applyBorder="1"/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G68"/>
  <sheetViews>
    <sheetView topLeftCell="A43" zoomScaleNormal="100" workbookViewId="0">
      <selection activeCell="D69" sqref="D69"/>
    </sheetView>
  </sheetViews>
  <sheetFormatPr defaultColWidth="8.6640625" defaultRowHeight="15" customHeight="1" x14ac:dyDescent="0.3"/>
  <cols>
    <col min="1" max="1" width="35" customWidth="1"/>
    <col min="2" max="2" width="10" customWidth="1"/>
    <col min="3" max="3" width="9.88671875" customWidth="1"/>
    <col min="4" max="4" width="12" customWidth="1"/>
    <col min="5" max="5" width="30" customWidth="1"/>
    <col min="6" max="6" width="50.6640625" customWidth="1"/>
  </cols>
  <sheetData>
    <row r="1" spans="1:7" ht="15" customHeight="1" x14ac:dyDescent="0.3">
      <c r="A1" s="3" t="s">
        <v>0</v>
      </c>
      <c r="B1" s="3"/>
      <c r="C1" s="3"/>
      <c r="D1" s="3"/>
      <c r="E1" s="3"/>
      <c r="F1" s="3"/>
      <c r="G1" s="3"/>
    </row>
    <row r="3" spans="1:7" ht="15" customHeight="1" x14ac:dyDescent="0.3">
      <c r="A3" s="2" t="s">
        <v>1</v>
      </c>
      <c r="B3" s="2"/>
      <c r="C3" s="2"/>
      <c r="D3" s="2"/>
      <c r="E3" s="2"/>
      <c r="F3" s="2"/>
    </row>
    <row r="4" spans="1:7" ht="1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7" ht="16.5" customHeight="1" x14ac:dyDescent="0.3">
      <c r="A5" s="5" t="s">
        <v>8</v>
      </c>
      <c r="B5" s="5" t="s">
        <v>9</v>
      </c>
      <c r="C5" s="5" t="s">
        <v>10</v>
      </c>
      <c r="D5" s="6">
        <v>3</v>
      </c>
      <c r="E5" s="5"/>
      <c r="F5" s="5" t="s">
        <v>11</v>
      </c>
    </row>
    <row r="6" spans="1:7" ht="15" customHeight="1" x14ac:dyDescent="0.3">
      <c r="A6" s="5" t="s">
        <v>12</v>
      </c>
      <c r="B6" s="5" t="s">
        <v>13</v>
      </c>
      <c r="C6" s="5" t="s">
        <v>14</v>
      </c>
      <c r="D6" s="6">
        <v>75</v>
      </c>
      <c r="E6" s="5"/>
      <c r="F6" s="5" t="s">
        <v>15</v>
      </c>
    </row>
    <row r="7" spans="1:7" ht="15" customHeight="1" x14ac:dyDescent="0.3">
      <c r="A7" s="5" t="s">
        <v>16</v>
      </c>
      <c r="B7" s="5" t="s">
        <v>17</v>
      </c>
      <c r="C7" s="5" t="s">
        <v>18</v>
      </c>
      <c r="D7" s="6">
        <v>70</v>
      </c>
      <c r="E7" s="5"/>
      <c r="F7" s="5" t="s">
        <v>19</v>
      </c>
    </row>
    <row r="8" spans="1:7" ht="15" customHeight="1" x14ac:dyDescent="0.3">
      <c r="A8" s="5" t="s">
        <v>20</v>
      </c>
      <c r="B8" s="5" t="s">
        <v>21</v>
      </c>
      <c r="C8" s="5" t="s">
        <v>22</v>
      </c>
      <c r="D8" s="6">
        <v>250</v>
      </c>
      <c r="E8" s="5"/>
      <c r="F8" s="5" t="s">
        <v>23</v>
      </c>
    </row>
    <row r="10" spans="1:7" ht="15" customHeight="1" x14ac:dyDescent="0.3">
      <c r="A10" s="2" t="s">
        <v>24</v>
      </c>
      <c r="B10" s="2"/>
      <c r="C10" s="2"/>
      <c r="D10" s="2"/>
      <c r="E10" s="2"/>
      <c r="F10" s="2"/>
    </row>
    <row r="11" spans="1:7" ht="15" customHeight="1" x14ac:dyDescent="0.3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</row>
    <row r="12" spans="1:7" ht="15" customHeight="1" x14ac:dyDescent="0.3">
      <c r="A12" s="5" t="s">
        <v>25</v>
      </c>
      <c r="B12" s="5" t="s">
        <v>26</v>
      </c>
      <c r="C12" s="5" t="s">
        <v>14</v>
      </c>
      <c r="D12" s="6">
        <v>475</v>
      </c>
      <c r="E12" s="5"/>
      <c r="F12" s="5" t="s">
        <v>27</v>
      </c>
    </row>
    <row r="13" spans="1:7" ht="26.25" customHeight="1" x14ac:dyDescent="0.3">
      <c r="A13" s="5" t="s">
        <v>28</v>
      </c>
      <c r="B13" s="5" t="s">
        <v>29</v>
      </c>
      <c r="C13" s="5" t="s">
        <v>30</v>
      </c>
      <c r="D13" s="6">
        <v>8</v>
      </c>
      <c r="E13" s="5"/>
      <c r="F13" s="5" t="s">
        <v>550</v>
      </c>
    </row>
    <row r="14" spans="1:7" ht="26.25" customHeight="1" x14ac:dyDescent="0.3">
      <c r="A14" s="5" t="s">
        <v>31</v>
      </c>
      <c r="B14" s="5" t="s">
        <v>32</v>
      </c>
      <c r="C14" s="5" t="s">
        <v>14</v>
      </c>
      <c r="D14" s="7">
        <f>D13*D24</f>
        <v>143.52000000000001</v>
      </c>
      <c r="E14" s="5" t="s">
        <v>33</v>
      </c>
      <c r="F14" s="5" t="s">
        <v>34</v>
      </c>
    </row>
    <row r="15" spans="1:7" ht="15" customHeight="1" x14ac:dyDescent="0.3">
      <c r="A15" s="5" t="s">
        <v>35</v>
      </c>
      <c r="B15" s="5" t="s">
        <v>36</v>
      </c>
      <c r="C15" s="5" t="s">
        <v>14</v>
      </c>
      <c r="D15" s="7">
        <f>D12+D14</f>
        <v>618.52</v>
      </c>
      <c r="E15" s="5" t="s">
        <v>37</v>
      </c>
      <c r="F15" s="5" t="s">
        <v>38</v>
      </c>
    </row>
    <row r="16" spans="1:7" ht="15" customHeight="1" x14ac:dyDescent="0.3">
      <c r="A16" s="5" t="s">
        <v>39</v>
      </c>
      <c r="B16" s="5" t="s">
        <v>40</v>
      </c>
      <c r="C16" s="5" t="s">
        <v>14</v>
      </c>
      <c r="D16" s="7">
        <f>D5*D6</f>
        <v>225</v>
      </c>
      <c r="E16" s="5" t="s">
        <v>41</v>
      </c>
      <c r="F16" s="5" t="s">
        <v>42</v>
      </c>
    </row>
    <row r="17" spans="1:6" ht="15" customHeight="1" x14ac:dyDescent="0.3">
      <c r="A17" s="5" t="s">
        <v>43</v>
      </c>
      <c r="B17" s="5" t="s">
        <v>44</v>
      </c>
      <c r="C17" s="5" t="s">
        <v>14</v>
      </c>
      <c r="D17" s="7">
        <f>D15+D16</f>
        <v>843.52</v>
      </c>
      <c r="E17" s="5" t="s">
        <v>45</v>
      </c>
      <c r="F17" s="5" t="s">
        <v>46</v>
      </c>
    </row>
    <row r="19" spans="1:6" ht="15" customHeight="1" x14ac:dyDescent="0.3">
      <c r="A19" s="2" t="s">
        <v>47</v>
      </c>
      <c r="B19" s="2"/>
      <c r="C19" s="2"/>
      <c r="D19" s="2"/>
      <c r="E19" s="2"/>
      <c r="F19" s="2"/>
    </row>
    <row r="20" spans="1:6" ht="15" customHeight="1" x14ac:dyDescent="0.3">
      <c r="A20" s="4" t="s">
        <v>2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</row>
    <row r="21" spans="1:6" ht="15" customHeight="1" x14ac:dyDescent="0.3">
      <c r="A21" s="5" t="s">
        <v>48</v>
      </c>
      <c r="B21" s="5" t="s">
        <v>49</v>
      </c>
      <c r="C21" s="5" t="s">
        <v>49</v>
      </c>
      <c r="D21" s="6" t="s">
        <v>50</v>
      </c>
      <c r="E21" s="5"/>
      <c r="F21" s="5" t="s">
        <v>51</v>
      </c>
    </row>
    <row r="22" spans="1:6" ht="26.25" customHeight="1" x14ac:dyDescent="0.3">
      <c r="A22" s="5" t="s">
        <v>52</v>
      </c>
      <c r="B22" s="5" t="s">
        <v>53</v>
      </c>
      <c r="C22" s="5" t="s">
        <v>54</v>
      </c>
      <c r="D22" s="6">
        <v>345</v>
      </c>
      <c r="E22" s="5"/>
      <c r="F22" s="5" t="s">
        <v>55</v>
      </c>
    </row>
    <row r="23" spans="1:6" ht="15" customHeight="1" x14ac:dyDescent="0.3">
      <c r="A23" s="5" t="s">
        <v>56</v>
      </c>
      <c r="B23" s="5" t="s">
        <v>57</v>
      </c>
      <c r="C23" s="5" t="s">
        <v>58</v>
      </c>
      <c r="D23" s="6">
        <v>52</v>
      </c>
      <c r="E23" s="5"/>
      <c r="F23" s="5" t="s">
        <v>59</v>
      </c>
    </row>
    <row r="24" spans="1:6" ht="15" customHeight="1" x14ac:dyDescent="0.3">
      <c r="A24" s="5" t="s">
        <v>60</v>
      </c>
      <c r="B24" s="5" t="s">
        <v>61</v>
      </c>
      <c r="C24" s="5" t="s">
        <v>62</v>
      </c>
      <c r="D24" s="7">
        <f>D22*D23/1000</f>
        <v>17.940000000000001</v>
      </c>
      <c r="E24" s="5" t="s">
        <v>63</v>
      </c>
      <c r="F24" s="5" t="s">
        <v>64</v>
      </c>
    </row>
    <row r="25" spans="1:6" ht="26.25" customHeight="1" x14ac:dyDescent="0.3">
      <c r="A25" s="5" t="s">
        <v>65</v>
      </c>
      <c r="B25" s="5" t="s">
        <v>66</v>
      </c>
      <c r="C25" s="5" t="s">
        <v>62</v>
      </c>
      <c r="D25" s="7">
        <f>D24*0.8</f>
        <v>14.352000000000002</v>
      </c>
      <c r="E25" s="5" t="s">
        <v>67</v>
      </c>
      <c r="F25" s="5" t="s">
        <v>68</v>
      </c>
    </row>
    <row r="27" spans="1:6" ht="15" customHeight="1" x14ac:dyDescent="0.3">
      <c r="A27" s="2" t="s">
        <v>69</v>
      </c>
      <c r="B27" s="2"/>
      <c r="C27" s="2"/>
      <c r="D27" s="2"/>
      <c r="E27" s="2"/>
      <c r="F27" s="2"/>
    </row>
    <row r="28" spans="1:6" ht="15" customHeight="1" x14ac:dyDescent="0.3">
      <c r="A28" s="4" t="s">
        <v>2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</row>
    <row r="29" spans="1:6" ht="15" customHeight="1" x14ac:dyDescent="0.3">
      <c r="A29" s="5" t="s">
        <v>551</v>
      </c>
      <c r="B29" s="5" t="s">
        <v>70</v>
      </c>
      <c r="C29" s="5" t="s">
        <v>71</v>
      </c>
      <c r="D29" s="6">
        <v>0.28999999999999998</v>
      </c>
      <c r="E29" s="5"/>
      <c r="F29" s="5" t="s">
        <v>556</v>
      </c>
    </row>
    <row r="30" spans="1:6" ht="15" customHeight="1" x14ac:dyDescent="0.3">
      <c r="A30" s="5" t="s">
        <v>72</v>
      </c>
      <c r="B30" s="5" t="s">
        <v>73</v>
      </c>
      <c r="C30" s="5" t="s">
        <v>74</v>
      </c>
      <c r="D30" s="6">
        <v>12</v>
      </c>
      <c r="E30" s="5"/>
      <c r="F30" s="5" t="s">
        <v>75</v>
      </c>
    </row>
    <row r="31" spans="1:6" ht="15" customHeight="1" x14ac:dyDescent="0.3">
      <c r="A31" s="5" t="s">
        <v>76</v>
      </c>
      <c r="B31" s="5" t="s">
        <v>77</v>
      </c>
      <c r="C31" s="5" t="s">
        <v>49</v>
      </c>
      <c r="D31" s="6">
        <v>0.88</v>
      </c>
      <c r="E31" s="5"/>
      <c r="F31" s="5" t="s">
        <v>78</v>
      </c>
    </row>
    <row r="32" spans="1:6" ht="15" customHeight="1" x14ac:dyDescent="0.3">
      <c r="A32" s="5" t="s">
        <v>79</v>
      </c>
      <c r="B32" s="5" t="s">
        <v>80</v>
      </c>
      <c r="C32" s="5" t="s">
        <v>49</v>
      </c>
      <c r="D32" s="6">
        <v>1.4999999999999999E-2</v>
      </c>
      <c r="E32" s="5"/>
      <c r="F32" s="5" t="s">
        <v>557</v>
      </c>
    </row>
    <row r="33" spans="1:6" ht="15" customHeight="1" x14ac:dyDescent="0.3">
      <c r="A33" s="5" t="s">
        <v>81</v>
      </c>
      <c r="B33" s="5" t="s">
        <v>82</v>
      </c>
      <c r="C33" s="5" t="s">
        <v>83</v>
      </c>
      <c r="D33" s="6">
        <v>9.81</v>
      </c>
      <c r="E33" s="5"/>
      <c r="F33" s="5" t="s">
        <v>84</v>
      </c>
    </row>
    <row r="35" spans="1:6" ht="15" customHeight="1" x14ac:dyDescent="0.3">
      <c r="A35" s="2" t="s">
        <v>85</v>
      </c>
      <c r="B35" s="2"/>
      <c r="C35" s="2"/>
      <c r="D35" s="2"/>
      <c r="E35" s="2"/>
      <c r="F35" s="2"/>
    </row>
    <row r="36" spans="1:6" ht="15" customHeight="1" x14ac:dyDescent="0.3">
      <c r="A36" s="4" t="s">
        <v>2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</row>
    <row r="37" spans="1:6" ht="26.25" customHeight="1" x14ac:dyDescent="0.3">
      <c r="A37" s="5" t="s">
        <v>86</v>
      </c>
      <c r="B37" s="5" t="s">
        <v>87</v>
      </c>
      <c r="C37" s="5" t="s">
        <v>88</v>
      </c>
      <c r="D37" s="6">
        <v>15</v>
      </c>
      <c r="E37" s="5"/>
      <c r="F37" s="5" t="s">
        <v>89</v>
      </c>
    </row>
    <row r="38" spans="1:6" ht="15" customHeight="1" x14ac:dyDescent="0.3">
      <c r="A38" s="5" t="s">
        <v>90</v>
      </c>
      <c r="B38" s="5" t="s">
        <v>91</v>
      </c>
      <c r="C38" s="5" t="s">
        <v>18</v>
      </c>
      <c r="D38" s="6">
        <v>5</v>
      </c>
      <c r="E38" s="5"/>
      <c r="F38" s="5" t="s">
        <v>92</v>
      </c>
    </row>
    <row r="39" spans="1:6" ht="26.25" customHeight="1" x14ac:dyDescent="0.3">
      <c r="A39" s="5" t="s">
        <v>93</v>
      </c>
      <c r="B39" s="5" t="s">
        <v>94</v>
      </c>
      <c r="C39" s="5" t="s">
        <v>95</v>
      </c>
      <c r="D39" s="6">
        <v>5</v>
      </c>
      <c r="E39" s="5"/>
      <c r="F39" s="5" t="s">
        <v>96</v>
      </c>
    </row>
    <row r="40" spans="1:6" ht="15" customHeight="1" x14ac:dyDescent="0.3">
      <c r="A40" s="5" t="s">
        <v>97</v>
      </c>
      <c r="B40" s="5" t="s">
        <v>98</v>
      </c>
      <c r="C40" s="5" t="s">
        <v>49</v>
      </c>
      <c r="D40" s="7">
        <f>IF(D39&lt;=1,0.4,IF(D39&lt;=2,0.5,IF(D39&lt;=5,0.7,1)))</f>
        <v>0.7</v>
      </c>
      <c r="E40" s="5"/>
      <c r="F40" s="5" t="s">
        <v>99</v>
      </c>
    </row>
    <row r="41" spans="1:6" ht="15" customHeight="1" x14ac:dyDescent="0.3">
      <c r="A41" s="5" t="s">
        <v>100</v>
      </c>
      <c r="B41" s="5" t="s">
        <v>101</v>
      </c>
      <c r="C41" s="5" t="s">
        <v>83</v>
      </c>
      <c r="D41" s="6">
        <v>0.5</v>
      </c>
      <c r="E41" s="5"/>
      <c r="F41" s="5" t="s">
        <v>102</v>
      </c>
    </row>
    <row r="42" spans="1:6" ht="15" customHeight="1" x14ac:dyDescent="0.3">
      <c r="A42" s="5" t="s">
        <v>103</v>
      </c>
      <c r="B42" s="5" t="s">
        <v>104</v>
      </c>
      <c r="C42" s="5" t="s">
        <v>49</v>
      </c>
      <c r="D42" s="6">
        <v>1.2</v>
      </c>
      <c r="E42" s="5"/>
      <c r="F42" s="5" t="s">
        <v>105</v>
      </c>
    </row>
    <row r="43" spans="1:6" ht="15" customHeight="1" x14ac:dyDescent="0.3">
      <c r="A43" s="5" t="s">
        <v>106</v>
      </c>
      <c r="B43" s="5" t="s">
        <v>49</v>
      </c>
      <c r="C43" s="5" t="s">
        <v>107</v>
      </c>
      <c r="D43" s="7">
        <f>TAN(RADIANS(D37))*100</f>
        <v>26.794919243112268</v>
      </c>
      <c r="E43" s="5" t="s">
        <v>108</v>
      </c>
      <c r="F43" s="5" t="s">
        <v>109</v>
      </c>
    </row>
    <row r="45" spans="1:6" ht="15" customHeight="1" x14ac:dyDescent="0.3">
      <c r="A45" s="2" t="s">
        <v>110</v>
      </c>
      <c r="B45" s="2"/>
      <c r="C45" s="2"/>
      <c r="D45" s="2"/>
      <c r="E45" s="2"/>
      <c r="F45" s="2"/>
    </row>
    <row r="46" spans="1:6" ht="15" customHeight="1" x14ac:dyDescent="0.3">
      <c r="A46" s="4" t="s">
        <v>2</v>
      </c>
      <c r="B46" s="4" t="s">
        <v>3</v>
      </c>
      <c r="C46" s="4" t="s">
        <v>4</v>
      </c>
      <c r="D46" s="4" t="s">
        <v>5</v>
      </c>
      <c r="E46" s="4" t="s">
        <v>6</v>
      </c>
      <c r="F46" s="4" t="s">
        <v>7</v>
      </c>
    </row>
    <row r="47" spans="1:6" ht="15" customHeight="1" x14ac:dyDescent="0.3">
      <c r="A47" s="5" t="s">
        <v>111</v>
      </c>
      <c r="B47" s="5" t="s">
        <v>112</v>
      </c>
      <c r="C47" s="5" t="s">
        <v>71</v>
      </c>
      <c r="D47" s="6">
        <v>1.2</v>
      </c>
      <c r="E47" s="5"/>
      <c r="F47" s="5" t="s">
        <v>113</v>
      </c>
    </row>
    <row r="48" spans="1:6" ht="15" customHeight="1" x14ac:dyDescent="0.3">
      <c r="A48" s="5" t="s">
        <v>114</v>
      </c>
      <c r="B48" s="5" t="s">
        <v>115</v>
      </c>
      <c r="C48" s="5" t="s">
        <v>71</v>
      </c>
      <c r="D48" s="6">
        <v>1.59</v>
      </c>
      <c r="E48" s="5"/>
      <c r="F48" s="5" t="s">
        <v>116</v>
      </c>
    </row>
    <row r="49" spans="1:6" ht="26.25" customHeight="1" x14ac:dyDescent="0.3">
      <c r="A49" s="5" t="s">
        <v>117</v>
      </c>
      <c r="B49" s="5" t="s">
        <v>118</v>
      </c>
      <c r="C49" s="5" t="s">
        <v>71</v>
      </c>
      <c r="D49" s="6">
        <v>0.17</v>
      </c>
      <c r="E49" s="5"/>
      <c r="F49" s="5" t="s">
        <v>119</v>
      </c>
    </row>
    <row r="50" spans="1:6" ht="15" customHeight="1" x14ac:dyDescent="0.3">
      <c r="A50" s="5" t="s">
        <v>120</v>
      </c>
      <c r="B50" s="5" t="s">
        <v>121</v>
      </c>
      <c r="C50" s="5" t="s">
        <v>122</v>
      </c>
      <c r="D50" s="7">
        <f>D47*(D48-D49)</f>
        <v>1.7040000000000002</v>
      </c>
      <c r="E50" s="5" t="s">
        <v>123</v>
      </c>
      <c r="F50" s="5" t="s">
        <v>124</v>
      </c>
    </row>
    <row r="52" spans="1:6" ht="15" customHeight="1" x14ac:dyDescent="0.3">
      <c r="A52" s="2" t="s">
        <v>125</v>
      </c>
      <c r="B52" s="2"/>
      <c r="C52" s="2"/>
      <c r="D52" s="2"/>
      <c r="E52" s="2"/>
      <c r="F52" s="2"/>
    </row>
    <row r="53" spans="1:6" ht="15" customHeight="1" x14ac:dyDescent="0.3">
      <c r="A53" s="4" t="s">
        <v>2</v>
      </c>
      <c r="B53" s="4" t="s">
        <v>3</v>
      </c>
      <c r="C53" s="4" t="s">
        <v>4</v>
      </c>
      <c r="D53" s="4" t="s">
        <v>5</v>
      </c>
      <c r="E53" s="4" t="s">
        <v>6</v>
      </c>
      <c r="F53" s="4" t="s">
        <v>7</v>
      </c>
    </row>
    <row r="54" spans="1:6" ht="15" customHeight="1" x14ac:dyDescent="0.3">
      <c r="A54" s="5" t="s">
        <v>126</v>
      </c>
      <c r="B54" s="5" t="s">
        <v>127</v>
      </c>
      <c r="C54" s="5" t="s">
        <v>128</v>
      </c>
      <c r="D54" s="6">
        <v>1.2250000000000001</v>
      </c>
      <c r="E54" s="5"/>
      <c r="F54" s="5" t="s">
        <v>129</v>
      </c>
    </row>
    <row r="55" spans="1:6" ht="15" customHeight="1" x14ac:dyDescent="0.3">
      <c r="A55" s="5" t="s">
        <v>130</v>
      </c>
      <c r="B55" s="5" t="s">
        <v>131</v>
      </c>
      <c r="C55" s="5" t="s">
        <v>49</v>
      </c>
      <c r="D55" s="6">
        <v>0.35</v>
      </c>
      <c r="E55" s="5"/>
      <c r="F55" s="5" t="s">
        <v>132</v>
      </c>
    </row>
    <row r="57" spans="1:6" ht="15" customHeight="1" x14ac:dyDescent="0.3">
      <c r="A57" s="2" t="s">
        <v>133</v>
      </c>
      <c r="B57" s="2"/>
      <c r="C57" s="2"/>
      <c r="D57" s="2"/>
      <c r="E57" s="2"/>
      <c r="F57" s="2"/>
    </row>
    <row r="58" spans="1:6" ht="39" customHeight="1" x14ac:dyDescent="0.3">
      <c r="A58" s="4" t="s">
        <v>134</v>
      </c>
      <c r="B58" s="4" t="s">
        <v>135</v>
      </c>
      <c r="C58" s="4" t="s">
        <v>136</v>
      </c>
      <c r="D58" s="4" t="s">
        <v>137</v>
      </c>
      <c r="E58" s="4" t="s">
        <v>6</v>
      </c>
      <c r="F58" s="4" t="s">
        <v>7</v>
      </c>
    </row>
    <row r="59" spans="1:6" ht="15" customHeight="1" x14ac:dyDescent="0.3">
      <c r="A59" s="8">
        <v>20</v>
      </c>
      <c r="B59" s="9">
        <v>3</v>
      </c>
      <c r="C59" s="10">
        <f>B59</f>
        <v>3</v>
      </c>
      <c r="D59" s="10">
        <f>(A59/3.6)/C59</f>
        <v>1.8518518518518519</v>
      </c>
      <c r="E59" s="8" t="s">
        <v>138</v>
      </c>
      <c r="F59" s="11" t="s">
        <v>139</v>
      </c>
    </row>
    <row r="60" spans="1:6" ht="15" customHeight="1" x14ac:dyDescent="0.3">
      <c r="A60" s="8">
        <v>30</v>
      </c>
      <c r="B60" s="9">
        <v>4.5</v>
      </c>
      <c r="C60" s="10">
        <f>B60-B59</f>
        <v>1.5</v>
      </c>
      <c r="D60" s="10">
        <f>((A60-A59)/3.6)/C60</f>
        <v>1.8518518518518519</v>
      </c>
      <c r="E60" s="8"/>
      <c r="F60" s="11" t="s">
        <v>140</v>
      </c>
    </row>
    <row r="61" spans="1:6" ht="15" customHeight="1" x14ac:dyDescent="0.3">
      <c r="A61" s="8">
        <v>40</v>
      </c>
      <c r="B61" s="9">
        <v>6</v>
      </c>
      <c r="C61" s="10">
        <f>B61-B60</f>
        <v>1.5</v>
      </c>
      <c r="D61" s="10">
        <f>((A61-A60)/3.6)/C61</f>
        <v>1.8518518518518519</v>
      </c>
      <c r="E61" s="8"/>
      <c r="F61" s="11" t="s">
        <v>140</v>
      </c>
    </row>
    <row r="62" spans="1:6" ht="15" customHeight="1" x14ac:dyDescent="0.3">
      <c r="A62" s="8">
        <v>50</v>
      </c>
      <c r="B62" s="9">
        <v>8</v>
      </c>
      <c r="C62" s="10">
        <f>B62-B61</f>
        <v>2</v>
      </c>
      <c r="D62" s="10">
        <f>((A62-A61)/3.6)/C62</f>
        <v>1.3888888888888888</v>
      </c>
      <c r="E62" s="8"/>
      <c r="F62" s="11" t="s">
        <v>140</v>
      </c>
    </row>
    <row r="63" spans="1:6" ht="15" customHeight="1" x14ac:dyDescent="0.3">
      <c r="A63" s="8">
        <v>60</v>
      </c>
      <c r="B63" s="9">
        <v>11</v>
      </c>
      <c r="C63" s="10">
        <f>B63-B62</f>
        <v>3</v>
      </c>
      <c r="D63" s="10">
        <f>((A63-A62)/3.6)/C63</f>
        <v>0.92592592592592593</v>
      </c>
      <c r="E63" s="8"/>
      <c r="F63" s="11" t="s">
        <v>140</v>
      </c>
    </row>
    <row r="64" spans="1:6" ht="15" customHeight="1" x14ac:dyDescent="0.3">
      <c r="A64" s="8">
        <v>70</v>
      </c>
      <c r="B64" s="9">
        <v>14</v>
      </c>
      <c r="C64" s="10">
        <f>B64-B63</f>
        <v>3</v>
      </c>
      <c r="D64" s="10">
        <f>((A64-A63)/3.6)/C64</f>
        <v>0.92592592592592593</v>
      </c>
      <c r="E64" s="8"/>
      <c r="F64" s="11" t="s">
        <v>140</v>
      </c>
    </row>
    <row r="66" spans="1:6" ht="15" customHeight="1" x14ac:dyDescent="0.3">
      <c r="A66" s="2" t="s">
        <v>141</v>
      </c>
      <c r="B66" s="2"/>
      <c r="C66" s="2"/>
      <c r="D66" s="2"/>
      <c r="E66" s="2"/>
      <c r="F66" s="2"/>
    </row>
    <row r="67" spans="1:6" ht="15" customHeight="1" x14ac:dyDescent="0.3">
      <c r="A67" s="4" t="s">
        <v>2</v>
      </c>
      <c r="B67" s="4" t="s">
        <v>3</v>
      </c>
      <c r="C67" s="4" t="s">
        <v>4</v>
      </c>
      <c r="D67" s="4" t="s">
        <v>5</v>
      </c>
      <c r="E67" s="4" t="s">
        <v>6</v>
      </c>
      <c r="F67" s="4" t="s">
        <v>7</v>
      </c>
    </row>
    <row r="68" spans="1:6" ht="26.25" customHeight="1" x14ac:dyDescent="0.3">
      <c r="A68" s="5" t="s">
        <v>142</v>
      </c>
      <c r="B68" s="5" t="s">
        <v>143</v>
      </c>
      <c r="C68" s="5" t="s">
        <v>14</v>
      </c>
      <c r="D68" s="7">
        <f>D15+D6</f>
        <v>693.52</v>
      </c>
      <c r="E68" s="5" t="s">
        <v>144</v>
      </c>
      <c r="F68" s="5" t="s">
        <v>145</v>
      </c>
    </row>
  </sheetData>
  <mergeCells count="10">
    <mergeCell ref="A35:F35"/>
    <mergeCell ref="A45:F45"/>
    <mergeCell ref="A52:F52"/>
    <mergeCell ref="A57:F57"/>
    <mergeCell ref="A66:F66"/>
    <mergeCell ref="A1:G1"/>
    <mergeCell ref="A3:F3"/>
    <mergeCell ref="A10:F10"/>
    <mergeCell ref="A19:F19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G55"/>
  <sheetViews>
    <sheetView topLeftCell="A24" zoomScaleNormal="100" workbookViewId="0">
      <selection activeCell="D55" sqref="D55"/>
    </sheetView>
  </sheetViews>
  <sheetFormatPr defaultColWidth="8.6640625" defaultRowHeight="15" customHeight="1" x14ac:dyDescent="0.3"/>
  <cols>
    <col min="1" max="1" width="38" customWidth="1"/>
    <col min="2" max="2" width="12" customWidth="1"/>
    <col min="3" max="3" width="8" customWidth="1"/>
    <col min="4" max="4" width="14" customWidth="1"/>
    <col min="5" max="5" width="22" customWidth="1"/>
    <col min="6" max="6" width="28" customWidth="1"/>
    <col min="7" max="7" width="48" customWidth="1"/>
  </cols>
  <sheetData>
    <row r="1" spans="1:7" ht="15" customHeight="1" x14ac:dyDescent="0.3">
      <c r="A1" s="3" t="s">
        <v>146</v>
      </c>
      <c r="B1" s="3"/>
      <c r="C1" s="3"/>
      <c r="D1" s="3"/>
      <c r="E1" s="3"/>
      <c r="F1" s="3"/>
      <c r="G1" s="3"/>
    </row>
    <row r="3" spans="1:7" ht="15" customHeight="1" x14ac:dyDescent="0.3">
      <c r="A3" s="1" t="s">
        <v>147</v>
      </c>
      <c r="B3" s="1"/>
      <c r="C3" s="1"/>
      <c r="D3" s="1"/>
      <c r="E3" s="1"/>
      <c r="F3" s="1"/>
      <c r="G3" s="1"/>
    </row>
    <row r="4" spans="1:7" ht="1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148</v>
      </c>
      <c r="F4" s="4" t="s">
        <v>6</v>
      </c>
      <c r="G4" s="4" t="s">
        <v>7</v>
      </c>
    </row>
    <row r="5" spans="1:7" ht="26.25" customHeight="1" x14ac:dyDescent="0.3">
      <c r="A5" s="5" t="s">
        <v>149</v>
      </c>
      <c r="B5" s="5" t="s">
        <v>44</v>
      </c>
      <c r="C5" s="5" t="s">
        <v>14</v>
      </c>
      <c r="D5" s="12">
        <f>'Vehicle Specs'!D17</f>
        <v>843.52</v>
      </c>
      <c r="E5" s="5" t="s">
        <v>150</v>
      </c>
      <c r="F5" s="5"/>
      <c r="G5" s="5" t="s">
        <v>151</v>
      </c>
    </row>
    <row r="6" spans="1:7" ht="26.25" customHeight="1" x14ac:dyDescent="0.3">
      <c r="A6" s="5" t="s">
        <v>152</v>
      </c>
      <c r="B6" s="5" t="s">
        <v>54</v>
      </c>
      <c r="C6" s="5" t="s">
        <v>54</v>
      </c>
      <c r="D6" s="12">
        <f>'Vehicle Specs'!D22</f>
        <v>345</v>
      </c>
      <c r="E6" s="5" t="s">
        <v>150</v>
      </c>
      <c r="F6" s="5"/>
      <c r="G6" s="5" t="s">
        <v>153</v>
      </c>
    </row>
    <row r="7" spans="1:7" ht="26.25" customHeight="1" x14ac:dyDescent="0.3">
      <c r="A7" s="5" t="s">
        <v>154</v>
      </c>
      <c r="B7" s="5" t="s">
        <v>70</v>
      </c>
      <c r="C7" s="5" t="s">
        <v>71</v>
      </c>
      <c r="D7" s="12">
        <f>'Vehicle Specs'!D29</f>
        <v>0.28999999999999998</v>
      </c>
      <c r="E7" s="5" t="s">
        <v>150</v>
      </c>
      <c r="F7" s="5"/>
      <c r="G7" s="5" t="s">
        <v>552</v>
      </c>
    </row>
    <row r="8" spans="1:7" ht="26.25" customHeight="1" x14ac:dyDescent="0.3">
      <c r="A8" s="5" t="s">
        <v>155</v>
      </c>
      <c r="B8" s="5" t="s">
        <v>73</v>
      </c>
      <c r="C8" s="5" t="s">
        <v>74</v>
      </c>
      <c r="D8" s="12">
        <f>'Vehicle Specs'!D30</f>
        <v>12</v>
      </c>
      <c r="E8" s="5" t="s">
        <v>150</v>
      </c>
      <c r="F8" s="5"/>
      <c r="G8" s="5" t="s">
        <v>156</v>
      </c>
    </row>
    <row r="9" spans="1:7" ht="26.25" customHeight="1" x14ac:dyDescent="0.3">
      <c r="A9" s="5" t="s">
        <v>76</v>
      </c>
      <c r="B9" s="5" t="s">
        <v>77</v>
      </c>
      <c r="C9" s="5" t="s">
        <v>49</v>
      </c>
      <c r="D9" s="12">
        <f>'Vehicle Specs'!D31</f>
        <v>0.88</v>
      </c>
      <c r="E9" s="5" t="s">
        <v>150</v>
      </c>
      <c r="F9" s="5"/>
      <c r="G9" s="5" t="s">
        <v>157</v>
      </c>
    </row>
    <row r="10" spans="1:7" ht="26.25" customHeight="1" x14ac:dyDescent="0.3">
      <c r="A10" s="5" t="s">
        <v>158</v>
      </c>
      <c r="B10" s="5" t="s">
        <v>80</v>
      </c>
      <c r="C10" s="5" t="s">
        <v>49</v>
      </c>
      <c r="D10" s="12">
        <f>'Vehicle Specs'!D32</f>
        <v>1.4999999999999999E-2</v>
      </c>
      <c r="E10" s="5" t="s">
        <v>150</v>
      </c>
      <c r="F10" s="5"/>
      <c r="G10" s="5" t="s">
        <v>553</v>
      </c>
    </row>
    <row r="11" spans="1:7" ht="26.25" customHeight="1" x14ac:dyDescent="0.3">
      <c r="A11" s="5" t="s">
        <v>81</v>
      </c>
      <c r="B11" s="5" t="s">
        <v>82</v>
      </c>
      <c r="C11" s="5" t="s">
        <v>83</v>
      </c>
      <c r="D11" s="12">
        <f>'Vehicle Specs'!D33</f>
        <v>9.81</v>
      </c>
      <c r="E11" s="5" t="s">
        <v>150</v>
      </c>
      <c r="F11" s="5"/>
      <c r="G11" s="5" t="s">
        <v>159</v>
      </c>
    </row>
    <row r="12" spans="1:7" ht="26.25" customHeight="1" x14ac:dyDescent="0.3">
      <c r="A12" s="5" t="s">
        <v>160</v>
      </c>
      <c r="B12" s="5" t="s">
        <v>161</v>
      </c>
      <c r="C12" s="5" t="s">
        <v>162</v>
      </c>
      <c r="D12" s="12">
        <f>'Vehicle Specs'!D37</f>
        <v>15</v>
      </c>
      <c r="E12" s="5" t="s">
        <v>150</v>
      </c>
      <c r="F12" s="5"/>
      <c r="G12" s="5" t="s">
        <v>163</v>
      </c>
    </row>
    <row r="13" spans="1:7" ht="26.25" customHeight="1" x14ac:dyDescent="0.3">
      <c r="A13" s="5" t="s">
        <v>164</v>
      </c>
      <c r="B13" s="5" t="s">
        <v>165</v>
      </c>
      <c r="C13" s="5" t="s">
        <v>18</v>
      </c>
      <c r="D13" s="12">
        <f>'Vehicle Specs'!D38</f>
        <v>5</v>
      </c>
      <c r="E13" s="5" t="s">
        <v>150</v>
      </c>
      <c r="F13" s="5"/>
      <c r="G13" s="5" t="s">
        <v>166</v>
      </c>
    </row>
    <row r="14" spans="1:7" ht="26.25" customHeight="1" x14ac:dyDescent="0.3">
      <c r="A14" s="5" t="s">
        <v>167</v>
      </c>
      <c r="B14" s="5" t="s">
        <v>98</v>
      </c>
      <c r="C14" s="5" t="s">
        <v>49</v>
      </c>
      <c r="D14" s="12">
        <f>'Vehicle Specs'!D40</f>
        <v>0.7</v>
      </c>
      <c r="E14" s="5" t="s">
        <v>150</v>
      </c>
      <c r="F14" s="5"/>
      <c r="G14" s="5" t="s">
        <v>168</v>
      </c>
    </row>
    <row r="15" spans="1:7" ht="26.25" customHeight="1" x14ac:dyDescent="0.3">
      <c r="A15" s="5" t="s">
        <v>100</v>
      </c>
      <c r="B15" s="5" t="s">
        <v>169</v>
      </c>
      <c r="C15" s="5" t="s">
        <v>83</v>
      </c>
      <c r="D15" s="12">
        <f>'Vehicle Specs'!D41</f>
        <v>0.5</v>
      </c>
      <c r="E15" s="5" t="s">
        <v>150</v>
      </c>
      <c r="F15" s="5"/>
      <c r="G15" s="5" t="s">
        <v>170</v>
      </c>
    </row>
    <row r="16" spans="1:7" ht="26.25" customHeight="1" x14ac:dyDescent="0.3">
      <c r="A16" s="5" t="s">
        <v>103</v>
      </c>
      <c r="B16" s="5" t="s">
        <v>104</v>
      </c>
      <c r="C16" s="5" t="s">
        <v>49</v>
      </c>
      <c r="D16" s="12">
        <f>'Vehicle Specs'!D42</f>
        <v>1.2</v>
      </c>
      <c r="E16" s="5" t="s">
        <v>150</v>
      </c>
      <c r="F16" s="5"/>
      <c r="G16" s="5" t="s">
        <v>171</v>
      </c>
    </row>
    <row r="18" spans="1:7" ht="15" customHeight="1" x14ac:dyDescent="0.3">
      <c r="A18" s="1" t="s">
        <v>172</v>
      </c>
      <c r="B18" s="1"/>
      <c r="C18" s="1"/>
      <c r="D18" s="1"/>
      <c r="E18" s="1"/>
      <c r="F18" s="1"/>
      <c r="G18" s="1"/>
    </row>
    <row r="19" spans="1:7" ht="15" customHeight="1" x14ac:dyDescent="0.3">
      <c r="A19" s="4" t="s">
        <v>2</v>
      </c>
      <c r="B19" s="4" t="s">
        <v>3</v>
      </c>
      <c r="C19" s="4" t="s">
        <v>4</v>
      </c>
      <c r="D19" s="4" t="s">
        <v>5</v>
      </c>
      <c r="E19" s="4" t="s">
        <v>148</v>
      </c>
      <c r="F19" s="4" t="s">
        <v>6</v>
      </c>
      <c r="G19" s="4" t="s">
        <v>7</v>
      </c>
    </row>
    <row r="20" spans="1:7" ht="15" customHeight="1" x14ac:dyDescent="0.3">
      <c r="A20" s="5" t="s">
        <v>160</v>
      </c>
      <c r="B20" s="5" t="s">
        <v>161</v>
      </c>
      <c r="C20" s="5" t="s">
        <v>173</v>
      </c>
      <c r="D20" s="7">
        <f>RADIANS(D12)</f>
        <v>0.26179938779914941</v>
      </c>
      <c r="E20" s="5"/>
      <c r="F20" s="5"/>
      <c r="G20" s="5" t="s">
        <v>174</v>
      </c>
    </row>
    <row r="21" spans="1:7" ht="15" customHeight="1" x14ac:dyDescent="0.3">
      <c r="A21" s="5" t="s">
        <v>175</v>
      </c>
      <c r="B21" s="5" t="s">
        <v>49</v>
      </c>
      <c r="C21" s="5" t="s">
        <v>49</v>
      </c>
      <c r="D21" s="7">
        <f>SIN(D20)</f>
        <v>0.25881904510252074</v>
      </c>
      <c r="E21" s="5"/>
      <c r="F21" s="5"/>
      <c r="G21" s="5" t="s">
        <v>176</v>
      </c>
    </row>
    <row r="22" spans="1:7" ht="15" customHeight="1" x14ac:dyDescent="0.3">
      <c r="A22" s="5" t="s">
        <v>177</v>
      </c>
      <c r="B22" s="5" t="s">
        <v>49</v>
      </c>
      <c r="C22" s="5" t="s">
        <v>49</v>
      </c>
      <c r="D22" s="7">
        <f>COS(D20)</f>
        <v>0.96592582628906831</v>
      </c>
      <c r="E22" s="5"/>
      <c r="F22" s="5"/>
      <c r="G22" s="5" t="s">
        <v>178</v>
      </c>
    </row>
    <row r="23" spans="1:7" ht="15" customHeight="1" x14ac:dyDescent="0.3">
      <c r="A23" s="5" t="s">
        <v>179</v>
      </c>
      <c r="B23" s="5" t="s">
        <v>180</v>
      </c>
      <c r="C23" s="5" t="s">
        <v>181</v>
      </c>
      <c r="D23" s="7">
        <f>D5*D11*D21</f>
        <v>2141.7097914730562</v>
      </c>
      <c r="E23" s="5" t="s">
        <v>182</v>
      </c>
      <c r="F23" s="5"/>
      <c r="G23" s="5" t="s">
        <v>183</v>
      </c>
    </row>
    <row r="24" spans="1:7" ht="15" customHeight="1" x14ac:dyDescent="0.3">
      <c r="A24" s="5" t="s">
        <v>158</v>
      </c>
      <c r="B24" s="5" t="s">
        <v>184</v>
      </c>
      <c r="C24" s="5" t="s">
        <v>181</v>
      </c>
      <c r="D24" s="7">
        <f>D5*D11*D10*D22</f>
        <v>119.89454635267788</v>
      </c>
      <c r="E24" s="5" t="s">
        <v>185</v>
      </c>
      <c r="F24" s="5"/>
      <c r="G24" s="5" t="s">
        <v>554</v>
      </c>
    </row>
    <row r="25" spans="1:7" ht="15" customHeight="1" x14ac:dyDescent="0.3">
      <c r="A25" s="5" t="s">
        <v>186</v>
      </c>
      <c r="B25" s="5" t="s">
        <v>187</v>
      </c>
      <c r="C25" s="5" t="s">
        <v>181</v>
      </c>
      <c r="D25" s="7">
        <f>D23+D24</f>
        <v>2261.6043378257341</v>
      </c>
      <c r="E25" s="5" t="s">
        <v>188</v>
      </c>
      <c r="F25" s="5"/>
      <c r="G25" s="5" t="s">
        <v>189</v>
      </c>
    </row>
    <row r="26" spans="1:7" ht="15" customHeight="1" x14ac:dyDescent="0.3">
      <c r="A26" s="5" t="s">
        <v>190</v>
      </c>
      <c r="B26" s="5" t="s">
        <v>165</v>
      </c>
      <c r="C26" s="5" t="s">
        <v>191</v>
      </c>
      <c r="D26" s="7">
        <f>D13/3.6</f>
        <v>1.3888888888888888</v>
      </c>
      <c r="E26" s="5"/>
      <c r="F26" s="5"/>
      <c r="G26" s="5" t="s">
        <v>192</v>
      </c>
    </row>
    <row r="27" spans="1:7" ht="26.25" customHeight="1" x14ac:dyDescent="0.3">
      <c r="A27" s="5" t="s">
        <v>193</v>
      </c>
      <c r="B27" s="5" t="s">
        <v>194</v>
      </c>
      <c r="C27" s="5" t="s">
        <v>195</v>
      </c>
      <c r="D27" s="7">
        <f>D25*D7</f>
        <v>655.86525796946285</v>
      </c>
      <c r="E27" s="5" t="s">
        <v>196</v>
      </c>
      <c r="F27" s="5"/>
      <c r="G27" s="5" t="s">
        <v>197</v>
      </c>
    </row>
    <row r="28" spans="1:7" ht="15" customHeight="1" x14ac:dyDescent="0.3">
      <c r="A28" s="5" t="s">
        <v>198</v>
      </c>
      <c r="B28" s="5" t="s">
        <v>199</v>
      </c>
      <c r="C28" s="5" t="s">
        <v>195</v>
      </c>
      <c r="D28" s="7">
        <f>D27/(D8*D9)</f>
        <v>62.108452459229433</v>
      </c>
      <c r="E28" s="5" t="s">
        <v>200</v>
      </c>
      <c r="F28" s="5"/>
      <c r="G28" s="5" t="s">
        <v>201</v>
      </c>
    </row>
    <row r="29" spans="1:7" ht="15" customHeight="1" x14ac:dyDescent="0.3">
      <c r="A29" s="5" t="s">
        <v>202</v>
      </c>
      <c r="B29" s="5" t="s">
        <v>203</v>
      </c>
      <c r="C29" s="5" t="s">
        <v>112</v>
      </c>
      <c r="D29" s="7">
        <f>D25*D26</f>
        <v>3141.1171358690749</v>
      </c>
      <c r="E29" s="5" t="s">
        <v>204</v>
      </c>
      <c r="F29" s="5"/>
      <c r="G29" s="5" t="s">
        <v>205</v>
      </c>
    </row>
    <row r="30" spans="1:7" ht="15" customHeight="1" x14ac:dyDescent="0.3">
      <c r="A30" s="5" t="s">
        <v>206</v>
      </c>
      <c r="B30" s="5" t="s">
        <v>207</v>
      </c>
      <c r="C30" s="5" t="s">
        <v>112</v>
      </c>
      <c r="D30" s="7">
        <f>D29/D9</f>
        <v>3569.4512907603125</v>
      </c>
      <c r="E30" s="5" t="s">
        <v>208</v>
      </c>
      <c r="F30" s="5"/>
      <c r="G30" s="5" t="s">
        <v>209</v>
      </c>
    </row>
    <row r="31" spans="1:7" ht="15" customHeight="1" x14ac:dyDescent="0.3">
      <c r="A31" s="5" t="s">
        <v>206</v>
      </c>
      <c r="B31" s="5" t="s">
        <v>207</v>
      </c>
      <c r="C31" s="5" t="s">
        <v>210</v>
      </c>
      <c r="D31" s="7">
        <f>D30/1000</f>
        <v>3.5694512907603126</v>
      </c>
      <c r="E31" s="5"/>
      <c r="F31" s="5"/>
      <c r="G31" s="5" t="s">
        <v>211</v>
      </c>
    </row>
    <row r="32" spans="1:7" ht="15" customHeight="1" x14ac:dyDescent="0.3">
      <c r="A32" s="5" t="s">
        <v>212</v>
      </c>
      <c r="B32" s="5" t="s">
        <v>213</v>
      </c>
      <c r="C32" s="5" t="s">
        <v>214</v>
      </c>
      <c r="D32" s="7">
        <f>D30/D6</f>
        <v>10.346235625392211</v>
      </c>
      <c r="E32" s="5" t="s">
        <v>215</v>
      </c>
      <c r="F32" s="5"/>
      <c r="G32" s="5" t="s">
        <v>216</v>
      </c>
    </row>
    <row r="34" spans="1:7" ht="15" customHeight="1" x14ac:dyDescent="0.3">
      <c r="A34" s="1" t="s">
        <v>217</v>
      </c>
      <c r="B34" s="1"/>
      <c r="C34" s="1"/>
      <c r="D34" s="1"/>
      <c r="E34" s="1"/>
      <c r="F34" s="1"/>
      <c r="G34" s="1"/>
    </row>
    <row r="35" spans="1:7" ht="15" customHeight="1" x14ac:dyDescent="0.3">
      <c r="A35" s="4" t="s">
        <v>2</v>
      </c>
      <c r="B35" s="4" t="s">
        <v>3</v>
      </c>
      <c r="C35" s="4" t="s">
        <v>4</v>
      </c>
      <c r="D35" s="4" t="s">
        <v>5</v>
      </c>
      <c r="E35" s="4" t="s">
        <v>148</v>
      </c>
      <c r="F35" s="4" t="s">
        <v>6</v>
      </c>
      <c r="G35" s="4" t="s">
        <v>7</v>
      </c>
    </row>
    <row r="36" spans="1:7" ht="15" customHeight="1" x14ac:dyDescent="0.3">
      <c r="A36" s="5" t="s">
        <v>218</v>
      </c>
      <c r="B36" s="5" t="s">
        <v>180</v>
      </c>
      <c r="C36" s="5" t="s">
        <v>181</v>
      </c>
      <c r="D36" s="7">
        <f>D23</f>
        <v>2141.7097914730562</v>
      </c>
      <c r="E36" s="5"/>
      <c r="F36" s="5"/>
      <c r="G36" s="5" t="s">
        <v>219</v>
      </c>
    </row>
    <row r="37" spans="1:7" ht="15" customHeight="1" x14ac:dyDescent="0.3">
      <c r="A37" s="5" t="s">
        <v>220</v>
      </c>
      <c r="B37" s="5" t="s">
        <v>221</v>
      </c>
      <c r="C37" s="5" t="s">
        <v>181</v>
      </c>
      <c r="D37" s="7">
        <f>D24*D16</f>
        <v>143.87345562321346</v>
      </c>
      <c r="E37" s="5" t="s">
        <v>222</v>
      </c>
      <c r="F37" s="5"/>
      <c r="G37" s="5" t="s">
        <v>223</v>
      </c>
    </row>
    <row r="38" spans="1:7" ht="15" customHeight="1" x14ac:dyDescent="0.3">
      <c r="A38" s="5" t="s">
        <v>224</v>
      </c>
      <c r="B38" s="5" t="s">
        <v>225</v>
      </c>
      <c r="C38" s="5" t="s">
        <v>181</v>
      </c>
      <c r="D38" s="7">
        <f>D5*D15</f>
        <v>421.76</v>
      </c>
      <c r="E38" s="5" t="s">
        <v>226</v>
      </c>
      <c r="F38" s="5"/>
      <c r="G38" s="5" t="s">
        <v>227</v>
      </c>
    </row>
    <row r="39" spans="1:7" ht="15" customHeight="1" x14ac:dyDescent="0.3">
      <c r="A39" s="5" t="s">
        <v>228</v>
      </c>
      <c r="B39" s="5" t="s">
        <v>229</v>
      </c>
      <c r="C39" s="5" t="s">
        <v>181</v>
      </c>
      <c r="D39" s="7">
        <f>D36+D37+D38</f>
        <v>2707.3432470962698</v>
      </c>
      <c r="E39" s="5" t="s">
        <v>230</v>
      </c>
      <c r="F39" s="5"/>
      <c r="G39" s="5" t="s">
        <v>231</v>
      </c>
    </row>
    <row r="40" spans="1:7" ht="15" customHeight="1" x14ac:dyDescent="0.3">
      <c r="A40" s="5" t="s">
        <v>232</v>
      </c>
      <c r="B40" s="5" t="s">
        <v>233</v>
      </c>
      <c r="C40" s="5" t="s">
        <v>195</v>
      </c>
      <c r="D40" s="7">
        <f>D39*D7</f>
        <v>785.12954165791814</v>
      </c>
      <c r="E40" s="5" t="s">
        <v>234</v>
      </c>
      <c r="F40" s="5"/>
      <c r="G40" s="5" t="s">
        <v>235</v>
      </c>
    </row>
    <row r="41" spans="1:7" ht="15" customHeight="1" x14ac:dyDescent="0.3">
      <c r="A41" s="5" t="s">
        <v>236</v>
      </c>
      <c r="B41" s="5" t="s">
        <v>237</v>
      </c>
      <c r="C41" s="5" t="s">
        <v>195</v>
      </c>
      <c r="D41" s="7">
        <f>D40/(D8*D9)</f>
        <v>74.349388414575571</v>
      </c>
      <c r="E41" s="5" t="s">
        <v>200</v>
      </c>
      <c r="F41" s="5"/>
      <c r="G41" s="5" t="s">
        <v>238</v>
      </c>
    </row>
    <row r="42" spans="1:7" ht="15" customHeight="1" x14ac:dyDescent="0.3">
      <c r="A42" s="5" t="s">
        <v>239</v>
      </c>
      <c r="B42" s="5" t="s">
        <v>240</v>
      </c>
      <c r="C42" s="5" t="s">
        <v>112</v>
      </c>
      <c r="D42" s="7">
        <f>D39*D26</f>
        <v>3760.1989543003747</v>
      </c>
      <c r="E42" s="5" t="s">
        <v>241</v>
      </c>
      <c r="F42" s="5"/>
      <c r="G42" s="5" t="s">
        <v>242</v>
      </c>
    </row>
    <row r="43" spans="1:7" ht="15" customHeight="1" x14ac:dyDescent="0.3">
      <c r="A43" s="5" t="s">
        <v>243</v>
      </c>
      <c r="B43" s="5" t="s">
        <v>244</v>
      </c>
      <c r="C43" s="5" t="s">
        <v>210</v>
      </c>
      <c r="D43" s="7">
        <f>D42/(D9*1000)</f>
        <v>4.2729533571595164</v>
      </c>
      <c r="E43" s="5" t="s">
        <v>245</v>
      </c>
      <c r="F43" s="5"/>
      <c r="G43" s="5" t="s">
        <v>246</v>
      </c>
    </row>
    <row r="44" spans="1:7" ht="15" customHeight="1" x14ac:dyDescent="0.3">
      <c r="A44" s="5" t="s">
        <v>247</v>
      </c>
      <c r="B44" s="5" t="s">
        <v>248</v>
      </c>
      <c r="C44" s="5" t="s">
        <v>214</v>
      </c>
      <c r="D44" s="7">
        <f>D43*1000/D6</f>
        <v>12.385372049737729</v>
      </c>
      <c r="E44" s="5" t="s">
        <v>249</v>
      </c>
      <c r="F44" s="5"/>
      <c r="G44" s="5" t="s">
        <v>250</v>
      </c>
    </row>
    <row r="46" spans="1:7" ht="15" customHeight="1" x14ac:dyDescent="0.3">
      <c r="A46" s="1" t="s">
        <v>251</v>
      </c>
      <c r="B46" s="1"/>
      <c r="C46" s="1"/>
      <c r="D46" s="1"/>
      <c r="E46" s="1"/>
      <c r="F46" s="1"/>
      <c r="G46" s="1"/>
    </row>
    <row r="47" spans="1:7" ht="15" customHeight="1" x14ac:dyDescent="0.3">
      <c r="A47" s="4" t="s">
        <v>2</v>
      </c>
      <c r="B47" s="4" t="s">
        <v>3</v>
      </c>
      <c r="C47" s="4" t="s">
        <v>4</v>
      </c>
      <c r="D47" s="4" t="s">
        <v>5</v>
      </c>
      <c r="E47" s="4" t="s">
        <v>148</v>
      </c>
      <c r="F47" s="4" t="s">
        <v>6</v>
      </c>
      <c r="G47" s="4" t="s">
        <v>7</v>
      </c>
    </row>
    <row r="48" spans="1:7" ht="15" customHeight="1" x14ac:dyDescent="0.3">
      <c r="A48" s="5" t="s">
        <v>252</v>
      </c>
      <c r="B48" s="5" t="s">
        <v>253</v>
      </c>
      <c r="C48" s="5" t="s">
        <v>195</v>
      </c>
      <c r="D48" s="7">
        <f>D28</f>
        <v>62.108452459229433</v>
      </c>
      <c r="E48" s="5"/>
      <c r="F48" s="5"/>
      <c r="G48" s="5" t="s">
        <v>254</v>
      </c>
    </row>
    <row r="49" spans="1:7" ht="15" customHeight="1" x14ac:dyDescent="0.3">
      <c r="A49" s="5" t="s">
        <v>255</v>
      </c>
      <c r="B49" s="5" t="s">
        <v>237</v>
      </c>
      <c r="C49" s="5" t="s">
        <v>195</v>
      </c>
      <c r="D49" s="7">
        <f>D41</f>
        <v>74.349388414575571</v>
      </c>
      <c r="E49" s="5"/>
      <c r="F49" s="5"/>
      <c r="G49" s="5" t="s">
        <v>256</v>
      </c>
    </row>
    <row r="50" spans="1:7" ht="15" customHeight="1" x14ac:dyDescent="0.3">
      <c r="A50" s="5" t="s">
        <v>257</v>
      </c>
      <c r="B50" s="5" t="s">
        <v>258</v>
      </c>
      <c r="C50" s="5" t="s">
        <v>210</v>
      </c>
      <c r="D50" s="7">
        <f>D31*D14</f>
        <v>2.4986159035322189</v>
      </c>
      <c r="E50" s="5" t="s">
        <v>259</v>
      </c>
      <c r="F50" s="5"/>
      <c r="G50" s="5" t="s">
        <v>260</v>
      </c>
    </row>
    <row r="51" spans="1:7" ht="15" customHeight="1" x14ac:dyDescent="0.3">
      <c r="A51" s="5" t="s">
        <v>261</v>
      </c>
      <c r="B51" s="5" t="s">
        <v>262</v>
      </c>
      <c r="C51" s="5" t="s">
        <v>210</v>
      </c>
      <c r="D51" s="7">
        <f>D31</f>
        <v>3.5694512907603126</v>
      </c>
      <c r="E51" s="5"/>
      <c r="F51" s="5"/>
      <c r="G51" s="5" t="s">
        <v>263</v>
      </c>
    </row>
    <row r="52" spans="1:7" ht="15" customHeight="1" x14ac:dyDescent="0.3">
      <c r="A52" s="5" t="s">
        <v>264</v>
      </c>
      <c r="B52" s="5" t="s">
        <v>265</v>
      </c>
      <c r="C52" s="5" t="s">
        <v>210</v>
      </c>
      <c r="D52" s="7">
        <f>D43</f>
        <v>4.2729533571595164</v>
      </c>
      <c r="E52" s="5"/>
      <c r="F52" s="5"/>
      <c r="G52" s="5" t="s">
        <v>266</v>
      </c>
    </row>
    <row r="53" spans="1:7" ht="15" customHeight="1" x14ac:dyDescent="0.3">
      <c r="A53" s="5" t="s">
        <v>267</v>
      </c>
      <c r="B53" s="5" t="s">
        <v>268</v>
      </c>
      <c r="C53" s="5" t="s">
        <v>214</v>
      </c>
      <c r="D53" s="7">
        <f>D32*D14</f>
        <v>7.2423649377745472</v>
      </c>
      <c r="E53" s="5" t="s">
        <v>269</v>
      </c>
      <c r="F53" s="5"/>
      <c r="G53" s="5" t="s">
        <v>270</v>
      </c>
    </row>
    <row r="54" spans="1:7" ht="15" customHeight="1" x14ac:dyDescent="0.3">
      <c r="A54" s="5" t="s">
        <v>271</v>
      </c>
      <c r="B54" s="5" t="s">
        <v>272</v>
      </c>
      <c r="C54" s="5" t="s">
        <v>214</v>
      </c>
      <c r="D54" s="7">
        <f>D32</f>
        <v>10.346235625392211</v>
      </c>
      <c r="E54" s="5"/>
      <c r="F54" s="5"/>
      <c r="G54" s="5" t="s">
        <v>273</v>
      </c>
    </row>
    <row r="55" spans="1:7" ht="15" customHeight="1" x14ac:dyDescent="0.3">
      <c r="A55" s="5" t="s">
        <v>274</v>
      </c>
      <c r="B55" s="5" t="s">
        <v>275</v>
      </c>
      <c r="C55" s="5" t="s">
        <v>214</v>
      </c>
      <c r="D55" s="7">
        <f>D44</f>
        <v>12.385372049737729</v>
      </c>
      <c r="E55" s="5"/>
      <c r="F55" s="5"/>
      <c r="G55" s="5" t="s">
        <v>276</v>
      </c>
    </row>
  </sheetData>
  <mergeCells count="5">
    <mergeCell ref="A1:G1"/>
    <mergeCell ref="A3:G3"/>
    <mergeCell ref="A18:G18"/>
    <mergeCell ref="A34:G34"/>
    <mergeCell ref="A46:G4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K51"/>
  <sheetViews>
    <sheetView topLeftCell="A23" zoomScaleNormal="100" workbookViewId="0">
      <selection activeCell="D36" sqref="D36"/>
    </sheetView>
  </sheetViews>
  <sheetFormatPr defaultColWidth="8.6640625" defaultRowHeight="15" customHeight="1" x14ac:dyDescent="0.3"/>
  <cols>
    <col min="1" max="1" width="38.5546875" customWidth="1"/>
    <col min="2" max="3" width="14" customWidth="1"/>
    <col min="4" max="6" width="12" customWidth="1"/>
    <col min="7" max="10" width="14" customWidth="1"/>
    <col min="11" max="11" width="48" customWidth="1"/>
  </cols>
  <sheetData>
    <row r="1" spans="1:11" ht="15" customHeight="1" x14ac:dyDescent="0.3">
      <c r="A1" s="3" t="s">
        <v>277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ht="15" customHeight="1" x14ac:dyDescent="0.3">
      <c r="A3" s="1" t="s">
        <v>147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148</v>
      </c>
      <c r="F4" s="4"/>
      <c r="G4" s="4"/>
      <c r="H4" s="4"/>
      <c r="I4" s="4"/>
      <c r="J4" s="4"/>
      <c r="K4" s="4" t="s">
        <v>7</v>
      </c>
    </row>
    <row r="5" spans="1:11" ht="15" customHeight="1" x14ac:dyDescent="0.3">
      <c r="A5" s="8" t="s">
        <v>278</v>
      </c>
      <c r="B5" s="8" t="s">
        <v>143</v>
      </c>
      <c r="C5" s="8" t="s">
        <v>14</v>
      </c>
      <c r="D5" s="13">
        <f>'Vehicle Specs'!D68</f>
        <v>693.52</v>
      </c>
      <c r="E5" s="8" t="s">
        <v>150</v>
      </c>
      <c r="F5" s="8"/>
      <c r="G5" s="8"/>
      <c r="H5" s="8"/>
      <c r="I5" s="8"/>
      <c r="J5" s="8"/>
      <c r="K5" s="11" t="s">
        <v>279</v>
      </c>
    </row>
    <row r="6" spans="1:11" ht="15" customHeight="1" x14ac:dyDescent="0.3">
      <c r="A6" s="8" t="s">
        <v>154</v>
      </c>
      <c r="B6" s="8" t="s">
        <v>70</v>
      </c>
      <c r="C6" s="8" t="s">
        <v>71</v>
      </c>
      <c r="D6" s="13">
        <f>'Vehicle Specs'!D29</f>
        <v>0.28999999999999998</v>
      </c>
      <c r="E6" s="8" t="s">
        <v>150</v>
      </c>
      <c r="F6" s="8"/>
      <c r="G6" s="8"/>
      <c r="H6" s="8"/>
      <c r="I6" s="8"/>
      <c r="J6" s="8"/>
      <c r="K6" s="11" t="s">
        <v>552</v>
      </c>
    </row>
    <row r="7" spans="1:11" ht="15" customHeight="1" x14ac:dyDescent="0.3">
      <c r="A7" s="8" t="s">
        <v>155</v>
      </c>
      <c r="B7" s="8" t="s">
        <v>73</v>
      </c>
      <c r="C7" s="8" t="s">
        <v>74</v>
      </c>
      <c r="D7" s="13">
        <f>'Vehicle Specs'!D30</f>
        <v>12</v>
      </c>
      <c r="E7" s="8" t="s">
        <v>150</v>
      </c>
      <c r="F7" s="8"/>
      <c r="G7" s="8"/>
      <c r="H7" s="8"/>
      <c r="I7" s="8"/>
      <c r="J7" s="8"/>
      <c r="K7" s="11" t="s">
        <v>156</v>
      </c>
    </row>
    <row r="8" spans="1:11" ht="15" customHeight="1" x14ac:dyDescent="0.3">
      <c r="A8" s="8" t="s">
        <v>76</v>
      </c>
      <c r="B8" s="8" t="s">
        <v>77</v>
      </c>
      <c r="C8" s="8" t="s">
        <v>49</v>
      </c>
      <c r="D8" s="13">
        <f>'Vehicle Specs'!D31</f>
        <v>0.88</v>
      </c>
      <c r="E8" s="8" t="s">
        <v>150</v>
      </c>
      <c r="F8" s="8"/>
      <c r="G8" s="8"/>
      <c r="H8" s="8"/>
      <c r="I8" s="8"/>
      <c r="J8" s="8"/>
      <c r="K8" s="11" t="s">
        <v>157</v>
      </c>
    </row>
    <row r="9" spans="1:11" ht="15" customHeight="1" x14ac:dyDescent="0.3">
      <c r="A9" s="8" t="s">
        <v>158</v>
      </c>
      <c r="B9" s="8" t="s">
        <v>80</v>
      </c>
      <c r="C9" s="8" t="s">
        <v>49</v>
      </c>
      <c r="D9" s="13">
        <f>'Vehicle Specs'!D32</f>
        <v>1.4999999999999999E-2</v>
      </c>
      <c r="E9" s="8" t="s">
        <v>150</v>
      </c>
      <c r="F9" s="8"/>
      <c r="G9" s="8"/>
      <c r="H9" s="8"/>
      <c r="I9" s="8"/>
      <c r="J9" s="8"/>
      <c r="K9" s="11" t="s">
        <v>555</v>
      </c>
    </row>
    <row r="10" spans="1:11" ht="15" customHeight="1" x14ac:dyDescent="0.3">
      <c r="A10" s="8" t="s">
        <v>81</v>
      </c>
      <c r="B10" s="8" t="s">
        <v>82</v>
      </c>
      <c r="C10" s="8" t="s">
        <v>83</v>
      </c>
      <c r="D10" s="13">
        <f>'Vehicle Specs'!D33</f>
        <v>9.81</v>
      </c>
      <c r="E10" s="8" t="s">
        <v>150</v>
      </c>
      <c r="F10" s="8"/>
      <c r="G10" s="8"/>
      <c r="H10" s="8"/>
      <c r="I10" s="8"/>
      <c r="J10" s="8"/>
      <c r="K10" s="11" t="s">
        <v>159</v>
      </c>
    </row>
    <row r="11" spans="1:11" ht="15" customHeight="1" x14ac:dyDescent="0.3">
      <c r="A11" s="8" t="s">
        <v>152</v>
      </c>
      <c r="B11" s="8" t="s">
        <v>53</v>
      </c>
      <c r="C11" s="8" t="s">
        <v>54</v>
      </c>
      <c r="D11" s="13">
        <f>'Vehicle Specs'!D22</f>
        <v>345</v>
      </c>
      <c r="E11" s="8" t="s">
        <v>150</v>
      </c>
      <c r="F11" s="8"/>
      <c r="G11" s="8"/>
      <c r="H11" s="8"/>
      <c r="I11" s="8"/>
      <c r="J11" s="8"/>
      <c r="K11" s="11" t="s">
        <v>280</v>
      </c>
    </row>
    <row r="12" spans="1:11" ht="15" customHeight="1" x14ac:dyDescent="0.3">
      <c r="A12" s="8" t="s">
        <v>126</v>
      </c>
      <c r="B12" s="8" t="s">
        <v>127</v>
      </c>
      <c r="C12" s="8" t="s">
        <v>128</v>
      </c>
      <c r="D12" s="13">
        <f>'Vehicle Specs'!D54</f>
        <v>1.2250000000000001</v>
      </c>
      <c r="E12" s="8" t="s">
        <v>150</v>
      </c>
      <c r="F12" s="8"/>
      <c r="G12" s="8"/>
      <c r="H12" s="8"/>
      <c r="I12" s="8"/>
      <c r="J12" s="8"/>
      <c r="K12" s="11" t="s">
        <v>281</v>
      </c>
    </row>
    <row r="13" spans="1:11" ht="15" customHeight="1" x14ac:dyDescent="0.3">
      <c r="A13" s="8" t="s">
        <v>130</v>
      </c>
      <c r="B13" s="8" t="s">
        <v>131</v>
      </c>
      <c r="C13" s="8" t="s">
        <v>49</v>
      </c>
      <c r="D13" s="13">
        <f>'Vehicle Specs'!D55</f>
        <v>0.35</v>
      </c>
      <c r="E13" s="8" t="s">
        <v>150</v>
      </c>
      <c r="F13" s="8"/>
      <c r="G13" s="8"/>
      <c r="H13" s="8"/>
      <c r="I13" s="8"/>
      <c r="J13" s="8"/>
      <c r="K13" s="11" t="s">
        <v>282</v>
      </c>
    </row>
    <row r="14" spans="1:11" ht="15" customHeight="1" x14ac:dyDescent="0.3">
      <c r="A14" s="8" t="s">
        <v>120</v>
      </c>
      <c r="B14" s="8" t="s">
        <v>121</v>
      </c>
      <c r="C14" s="8" t="s">
        <v>122</v>
      </c>
      <c r="D14" s="13">
        <f>'Vehicle Specs'!D50</f>
        <v>1.7040000000000002</v>
      </c>
      <c r="E14" s="8" t="s">
        <v>150</v>
      </c>
      <c r="F14" s="8"/>
      <c r="G14" s="8"/>
      <c r="H14" s="8"/>
      <c r="I14" s="8"/>
      <c r="J14" s="8"/>
      <c r="K14" s="11" t="s">
        <v>283</v>
      </c>
    </row>
    <row r="16" spans="1:11" ht="15" customHeight="1" x14ac:dyDescent="0.3">
      <c r="A16" s="1" t="s">
        <v>284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6.25" customHeight="1" x14ac:dyDescent="0.3">
      <c r="A17" s="4" t="s">
        <v>285</v>
      </c>
      <c r="B17" s="4" t="s">
        <v>286</v>
      </c>
      <c r="C17" s="4" t="s">
        <v>287</v>
      </c>
      <c r="D17" s="4" t="s">
        <v>288</v>
      </c>
      <c r="E17" s="4" t="s">
        <v>289</v>
      </c>
      <c r="F17" s="4" t="s">
        <v>290</v>
      </c>
      <c r="G17" s="4" t="s">
        <v>291</v>
      </c>
      <c r="H17" s="4"/>
      <c r="I17" s="4"/>
      <c r="J17" s="4"/>
      <c r="K17" s="4" t="s">
        <v>7</v>
      </c>
    </row>
    <row r="18" spans="1:11" ht="15" customHeight="1" x14ac:dyDescent="0.3">
      <c r="A18" s="8" t="s">
        <v>292</v>
      </c>
      <c r="B18" s="8">
        <v>0</v>
      </c>
      <c r="C18" s="8">
        <f>'Vehicle Specs'!A59</f>
        <v>20</v>
      </c>
      <c r="D18" s="8">
        <f>'Vehicle Specs'!C59</f>
        <v>3</v>
      </c>
      <c r="E18" s="8">
        <f>'Vehicle Specs'!D59</f>
        <v>1.8518518518518519</v>
      </c>
      <c r="F18" s="8">
        <f t="shared" ref="F18:G23" si="0">B18/3.6</f>
        <v>0</v>
      </c>
      <c r="G18" s="8">
        <f t="shared" si="0"/>
        <v>5.5555555555555554</v>
      </c>
      <c r="H18" s="8"/>
      <c r="I18" s="8"/>
      <c r="J18" s="8"/>
      <c r="K18" s="11" t="s">
        <v>293</v>
      </c>
    </row>
    <row r="19" spans="1:11" ht="15" customHeight="1" x14ac:dyDescent="0.3">
      <c r="A19" s="8" t="s">
        <v>294</v>
      </c>
      <c r="B19" s="8">
        <f>'Vehicle Specs'!A59</f>
        <v>20</v>
      </c>
      <c r="C19" s="8">
        <f>'Vehicle Specs'!A60</f>
        <v>30</v>
      </c>
      <c r="D19" s="8">
        <f>'Vehicle Specs'!C60</f>
        <v>1.5</v>
      </c>
      <c r="E19" s="8">
        <f>'Vehicle Specs'!D60</f>
        <v>1.8518518518518519</v>
      </c>
      <c r="F19" s="8">
        <f t="shared" si="0"/>
        <v>5.5555555555555554</v>
      </c>
      <c r="G19" s="8">
        <f t="shared" si="0"/>
        <v>8.3333333333333339</v>
      </c>
      <c r="H19" s="8"/>
      <c r="I19" s="8"/>
      <c r="J19" s="8"/>
      <c r="K19" s="11" t="s">
        <v>293</v>
      </c>
    </row>
    <row r="20" spans="1:11" ht="15" customHeight="1" x14ac:dyDescent="0.3">
      <c r="A20" s="8" t="s">
        <v>295</v>
      </c>
      <c r="B20" s="8">
        <f>'Vehicle Specs'!A60</f>
        <v>30</v>
      </c>
      <c r="C20" s="8">
        <f>'Vehicle Specs'!A61</f>
        <v>40</v>
      </c>
      <c r="D20" s="8">
        <f>'Vehicle Specs'!C61</f>
        <v>1.5</v>
      </c>
      <c r="E20" s="8">
        <f>'Vehicle Specs'!D61</f>
        <v>1.8518518518518519</v>
      </c>
      <c r="F20" s="8">
        <f t="shared" si="0"/>
        <v>8.3333333333333339</v>
      </c>
      <c r="G20" s="8">
        <f t="shared" si="0"/>
        <v>11.111111111111111</v>
      </c>
      <c r="H20" s="8"/>
      <c r="I20" s="8"/>
      <c r="J20" s="8"/>
      <c r="K20" s="11" t="s">
        <v>293</v>
      </c>
    </row>
    <row r="21" spans="1:11" ht="15" customHeight="1" x14ac:dyDescent="0.3">
      <c r="A21" s="8" t="s">
        <v>296</v>
      </c>
      <c r="B21" s="8">
        <f>'Vehicle Specs'!A61</f>
        <v>40</v>
      </c>
      <c r="C21" s="8">
        <f>'Vehicle Specs'!A62</f>
        <v>50</v>
      </c>
      <c r="D21" s="8">
        <f>'Vehicle Specs'!C62</f>
        <v>2</v>
      </c>
      <c r="E21" s="8">
        <f>'Vehicle Specs'!D62</f>
        <v>1.3888888888888888</v>
      </c>
      <c r="F21" s="8">
        <f t="shared" si="0"/>
        <v>11.111111111111111</v>
      </c>
      <c r="G21" s="8">
        <f t="shared" si="0"/>
        <v>13.888888888888889</v>
      </c>
      <c r="H21" s="8"/>
      <c r="I21" s="8"/>
      <c r="J21" s="8"/>
      <c r="K21" s="11" t="s">
        <v>293</v>
      </c>
    </row>
    <row r="22" spans="1:11" ht="15" customHeight="1" x14ac:dyDescent="0.3">
      <c r="A22" s="8" t="s">
        <v>297</v>
      </c>
      <c r="B22" s="8">
        <f>'Vehicle Specs'!A62</f>
        <v>50</v>
      </c>
      <c r="C22" s="8">
        <f>'Vehicle Specs'!A63</f>
        <v>60</v>
      </c>
      <c r="D22" s="8">
        <f>'Vehicle Specs'!C63</f>
        <v>3</v>
      </c>
      <c r="E22" s="8">
        <f>'Vehicle Specs'!D63</f>
        <v>0.92592592592592593</v>
      </c>
      <c r="F22" s="8">
        <f t="shared" si="0"/>
        <v>13.888888888888889</v>
      </c>
      <c r="G22" s="8">
        <f t="shared" si="0"/>
        <v>16.666666666666668</v>
      </c>
      <c r="H22" s="8"/>
      <c r="I22" s="8"/>
      <c r="J22" s="8"/>
      <c r="K22" s="11" t="s">
        <v>293</v>
      </c>
    </row>
    <row r="23" spans="1:11" ht="15" customHeight="1" x14ac:dyDescent="0.3">
      <c r="A23" s="8" t="s">
        <v>298</v>
      </c>
      <c r="B23" s="8">
        <f>'Vehicle Specs'!A63</f>
        <v>60</v>
      </c>
      <c r="C23" s="8">
        <f>'Vehicle Specs'!A64</f>
        <v>70</v>
      </c>
      <c r="D23" s="8">
        <f>'Vehicle Specs'!C64</f>
        <v>3</v>
      </c>
      <c r="E23" s="8">
        <f>'Vehicle Specs'!D64</f>
        <v>0.92592592592592593</v>
      </c>
      <c r="F23" s="8">
        <f t="shared" si="0"/>
        <v>16.666666666666668</v>
      </c>
      <c r="G23" s="8">
        <f t="shared" si="0"/>
        <v>19.444444444444443</v>
      </c>
      <c r="H23" s="8"/>
      <c r="I23" s="8"/>
      <c r="J23" s="8"/>
      <c r="K23" s="11" t="s">
        <v>293</v>
      </c>
    </row>
    <row r="25" spans="1:11" ht="15" customHeight="1" x14ac:dyDescent="0.3">
      <c r="A25" s="1" t="s">
        <v>299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6.25" customHeight="1" x14ac:dyDescent="0.3">
      <c r="A26" s="4" t="s">
        <v>285</v>
      </c>
      <c r="B26" s="4" t="s">
        <v>300</v>
      </c>
      <c r="C26" s="4" t="s">
        <v>301</v>
      </c>
      <c r="D26" s="4" t="s">
        <v>302</v>
      </c>
      <c r="E26" s="4" t="s">
        <v>303</v>
      </c>
      <c r="F26" s="4" t="s">
        <v>304</v>
      </c>
      <c r="G26" s="4" t="s">
        <v>305</v>
      </c>
      <c r="H26" s="4" t="s">
        <v>306</v>
      </c>
      <c r="I26" s="4" t="s">
        <v>307</v>
      </c>
      <c r="J26" s="4" t="s">
        <v>308</v>
      </c>
      <c r="K26" s="4" t="s">
        <v>7</v>
      </c>
    </row>
    <row r="27" spans="1:11" ht="15" customHeight="1" x14ac:dyDescent="0.3">
      <c r="A27" s="8" t="s">
        <v>292</v>
      </c>
      <c r="B27" s="10">
        <f t="shared" ref="B27:B32" si="1">G18</f>
        <v>5.5555555555555554</v>
      </c>
      <c r="C27" s="10">
        <f t="shared" ref="C27:C32" si="2">$D$5*E18</f>
        <v>1284.2962962962963</v>
      </c>
      <c r="D27" s="10">
        <f t="shared" ref="D27:D32" si="3">$D$9*$D$5*$D$10</f>
        <v>102.051468</v>
      </c>
      <c r="E27" s="10">
        <f t="shared" ref="E27:E32" si="4">0.5*$D$12*$D$13*$D$14*B27^2</f>
        <v>11.274537037037037</v>
      </c>
      <c r="F27" s="10">
        <f t="shared" ref="F27:F32" si="5">C27+D27+E27</f>
        <v>1397.6223013333333</v>
      </c>
      <c r="G27" s="10">
        <f t="shared" ref="G27:G32" si="6">F27*B27/1000</f>
        <v>7.7645683407407402</v>
      </c>
      <c r="H27" s="10">
        <f t="shared" ref="H27:H32" si="7">G27/$D$8</f>
        <v>8.8233731144781142</v>
      </c>
      <c r="I27" s="10">
        <f t="shared" ref="I27:I32" si="8">(F27*$D$6)/($D$8*$D$7)</f>
        <v>38.381673047979795</v>
      </c>
      <c r="J27" s="10">
        <f t="shared" ref="J27:J32" si="9">H27*1000/$D$11</f>
        <v>25.574994534719171</v>
      </c>
      <c r="K27" s="11" t="s">
        <v>309</v>
      </c>
    </row>
    <row r="28" spans="1:11" ht="15" customHeight="1" x14ac:dyDescent="0.3">
      <c r="A28" s="8" t="s">
        <v>294</v>
      </c>
      <c r="B28" s="10">
        <f t="shared" si="1"/>
        <v>8.3333333333333339</v>
      </c>
      <c r="C28" s="10">
        <f t="shared" si="2"/>
        <v>1284.2962962962963</v>
      </c>
      <c r="D28" s="10">
        <f t="shared" si="3"/>
        <v>102.051468</v>
      </c>
      <c r="E28" s="10">
        <f t="shared" si="4"/>
        <v>25.36770833333334</v>
      </c>
      <c r="F28" s="10">
        <f t="shared" si="5"/>
        <v>1411.7154726296296</v>
      </c>
      <c r="G28" s="10">
        <f t="shared" si="6"/>
        <v>11.764295605246915</v>
      </c>
      <c r="H28" s="10">
        <f t="shared" si="7"/>
        <v>13.36851773323513</v>
      </c>
      <c r="I28" s="10">
        <f t="shared" si="8"/>
        <v>38.768701426381874</v>
      </c>
      <c r="J28" s="10">
        <f t="shared" si="9"/>
        <v>38.749326763000376</v>
      </c>
      <c r="K28" s="11"/>
    </row>
    <row r="29" spans="1:11" ht="15" customHeight="1" x14ac:dyDescent="0.3">
      <c r="A29" s="8" t="s">
        <v>295</v>
      </c>
      <c r="B29" s="10">
        <f t="shared" si="1"/>
        <v>11.111111111111111</v>
      </c>
      <c r="C29" s="10">
        <f t="shared" si="2"/>
        <v>1284.2962962962963</v>
      </c>
      <c r="D29" s="10">
        <f t="shared" si="3"/>
        <v>102.051468</v>
      </c>
      <c r="E29" s="10">
        <f t="shared" si="4"/>
        <v>45.098148148148148</v>
      </c>
      <c r="F29" s="10">
        <f t="shared" si="5"/>
        <v>1431.4459124444443</v>
      </c>
      <c r="G29" s="10">
        <f t="shared" si="6"/>
        <v>15.904954582716048</v>
      </c>
      <c r="H29" s="10">
        <f t="shared" si="7"/>
        <v>18.073812025813691</v>
      </c>
      <c r="I29" s="10">
        <f t="shared" si="8"/>
        <v>39.310541156144772</v>
      </c>
      <c r="J29" s="10">
        <f t="shared" si="9"/>
        <v>52.387860944387512</v>
      </c>
      <c r="K29" s="11"/>
    </row>
    <row r="30" spans="1:11" ht="15" customHeight="1" x14ac:dyDescent="0.3">
      <c r="A30" s="8" t="s">
        <v>296</v>
      </c>
      <c r="B30" s="10">
        <f t="shared" si="1"/>
        <v>13.888888888888889</v>
      </c>
      <c r="C30" s="10">
        <f t="shared" si="2"/>
        <v>963.22222222222217</v>
      </c>
      <c r="D30" s="10">
        <f t="shared" si="3"/>
        <v>102.051468</v>
      </c>
      <c r="E30" s="10">
        <f t="shared" si="4"/>
        <v>70.465856481481495</v>
      </c>
      <c r="F30" s="10">
        <f t="shared" si="5"/>
        <v>1135.7395467037038</v>
      </c>
      <c r="G30" s="10">
        <f t="shared" si="6"/>
        <v>15.774160370884776</v>
      </c>
      <c r="H30" s="10">
        <f t="shared" si="7"/>
        <v>17.925182239641789</v>
      </c>
      <c r="I30" s="10">
        <f t="shared" si="8"/>
        <v>31.189817096976711</v>
      </c>
      <c r="J30" s="10">
        <f t="shared" si="9"/>
        <v>51.957049969976197</v>
      </c>
      <c r="K30" s="11"/>
    </row>
    <row r="31" spans="1:11" ht="15" customHeight="1" x14ac:dyDescent="0.3">
      <c r="A31" s="8" t="s">
        <v>297</v>
      </c>
      <c r="B31" s="10">
        <f t="shared" si="1"/>
        <v>16.666666666666668</v>
      </c>
      <c r="C31" s="10">
        <f t="shared" si="2"/>
        <v>642.14814814814815</v>
      </c>
      <c r="D31" s="10">
        <f t="shared" si="3"/>
        <v>102.051468</v>
      </c>
      <c r="E31" s="10">
        <f t="shared" si="4"/>
        <v>101.47083333333336</v>
      </c>
      <c r="F31" s="10">
        <f t="shared" si="5"/>
        <v>845.67044948148146</v>
      </c>
      <c r="G31" s="10">
        <f t="shared" si="6"/>
        <v>14.094507491358025</v>
      </c>
      <c r="H31" s="10">
        <f t="shared" si="7"/>
        <v>16.016485785634117</v>
      </c>
      <c r="I31" s="10">
        <f t="shared" si="8"/>
        <v>23.223904389169469</v>
      </c>
      <c r="J31" s="10">
        <f t="shared" si="9"/>
        <v>46.424596480098892</v>
      </c>
      <c r="K31" s="11"/>
    </row>
    <row r="32" spans="1:11" ht="15" customHeight="1" x14ac:dyDescent="0.3">
      <c r="A32" s="8" t="s">
        <v>298</v>
      </c>
      <c r="B32" s="10">
        <f t="shared" si="1"/>
        <v>19.444444444444443</v>
      </c>
      <c r="C32" s="10">
        <f t="shared" si="2"/>
        <v>642.14814814814815</v>
      </c>
      <c r="D32" s="10">
        <f t="shared" si="3"/>
        <v>102.051468</v>
      </c>
      <c r="E32" s="10">
        <f t="shared" si="4"/>
        <v>138.11307870370371</v>
      </c>
      <c r="F32" s="10">
        <f t="shared" si="5"/>
        <v>882.3126948518518</v>
      </c>
      <c r="G32" s="10">
        <f t="shared" si="6"/>
        <v>17.156080177674895</v>
      </c>
      <c r="H32" s="10">
        <f t="shared" si="7"/>
        <v>19.495545656448744</v>
      </c>
      <c r="I32" s="10">
        <f t="shared" si="8"/>
        <v>24.230178173014867</v>
      </c>
      <c r="J32" s="10">
        <f t="shared" si="9"/>
        <v>56.508827989706504</v>
      </c>
      <c r="K32" s="11"/>
    </row>
    <row r="34" spans="1:11" ht="15" customHeight="1" x14ac:dyDescent="0.3">
      <c r="A34" s="1" t="s">
        <v>310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6.25" customHeight="1" x14ac:dyDescent="0.3">
      <c r="A35" s="4" t="s">
        <v>285</v>
      </c>
      <c r="B35" s="4" t="s">
        <v>311</v>
      </c>
      <c r="C35" s="4" t="s">
        <v>288</v>
      </c>
      <c r="D35" s="4" t="s">
        <v>312</v>
      </c>
      <c r="E35" s="4" t="s">
        <v>313</v>
      </c>
      <c r="F35" s="4" t="s">
        <v>314</v>
      </c>
      <c r="G35" s="4" t="s">
        <v>315</v>
      </c>
      <c r="H35" s="4" t="s">
        <v>316</v>
      </c>
      <c r="I35" s="4"/>
      <c r="J35" s="4"/>
      <c r="K35" s="4" t="s">
        <v>7</v>
      </c>
    </row>
    <row r="36" spans="1:11" ht="15" customHeight="1" x14ac:dyDescent="0.3">
      <c r="A36" s="8" t="s">
        <v>292</v>
      </c>
      <c r="B36" s="10">
        <f t="shared" ref="B36:B41" si="10">0.5*$D$5*(G18^2-F18^2)</f>
        <v>10702.469135802468</v>
      </c>
      <c r="C36" s="10">
        <f t="shared" ref="C36:C41" si="11">D18</f>
        <v>3</v>
      </c>
      <c r="D36" s="10">
        <f t="shared" ref="D36:D41" si="12">B36/C36/1000</f>
        <v>3.5674897119341562</v>
      </c>
      <c r="E36" s="10">
        <f t="shared" ref="E36:E41" si="13">$D$9*$D$5*$D$10*(F18+G18)/2/1000</f>
        <v>0.28347629999999996</v>
      </c>
      <c r="F36" s="10">
        <f t="shared" ref="F36:F41" si="14">0.5*$D$12*$D$13*$D$14*((F18+G18)/2)^2*((F18+G18)/2)/1000</f>
        <v>7.8295396090534986E-3</v>
      </c>
      <c r="G36" s="10">
        <f t="shared" ref="G36:G41" si="15">D36+E36+F36</f>
        <v>3.8587955515432095</v>
      </c>
      <c r="H36" s="10">
        <f t="shared" ref="H36:H41" si="16">G36/$D$8</f>
        <v>4.3849949449354657</v>
      </c>
      <c r="I36" s="8"/>
      <c r="J36" s="8"/>
      <c r="K36" s="11" t="s">
        <v>317</v>
      </c>
    </row>
    <row r="37" spans="1:11" ht="15" customHeight="1" x14ac:dyDescent="0.3">
      <c r="A37" s="8" t="s">
        <v>294</v>
      </c>
      <c r="B37" s="10">
        <f t="shared" si="10"/>
        <v>13378.086419753092</v>
      </c>
      <c r="C37" s="10">
        <f t="shared" si="11"/>
        <v>1.5</v>
      </c>
      <c r="D37" s="10">
        <f t="shared" si="12"/>
        <v>8.918724279835395</v>
      </c>
      <c r="E37" s="10">
        <f t="shared" si="13"/>
        <v>0.70869074999999992</v>
      </c>
      <c r="F37" s="10">
        <f t="shared" si="14"/>
        <v>0.12233655639146093</v>
      </c>
      <c r="G37" s="10">
        <f t="shared" si="15"/>
        <v>9.7497515862268571</v>
      </c>
      <c r="H37" s="10">
        <f t="shared" si="16"/>
        <v>11.079263166166884</v>
      </c>
      <c r="I37" s="8"/>
      <c r="J37" s="8"/>
      <c r="K37" s="11"/>
    </row>
    <row r="38" spans="1:11" ht="15" customHeight="1" x14ac:dyDescent="0.3">
      <c r="A38" s="8" t="s">
        <v>295</v>
      </c>
      <c r="B38" s="10">
        <f t="shared" si="10"/>
        <v>18729.320987654315</v>
      </c>
      <c r="C38" s="10">
        <f t="shared" si="11"/>
        <v>1.5</v>
      </c>
      <c r="D38" s="10">
        <f t="shared" si="12"/>
        <v>12.486213991769544</v>
      </c>
      <c r="E38" s="10">
        <f t="shared" si="13"/>
        <v>0.99216704999999994</v>
      </c>
      <c r="F38" s="10">
        <f t="shared" si="14"/>
        <v>0.33569151073816866</v>
      </c>
      <c r="G38" s="10">
        <f t="shared" si="15"/>
        <v>13.814072552507714</v>
      </c>
      <c r="H38" s="10">
        <f t="shared" si="16"/>
        <v>15.697809718758766</v>
      </c>
      <c r="I38" s="8"/>
      <c r="J38" s="8"/>
      <c r="K38" s="11"/>
    </row>
    <row r="39" spans="1:11" ht="15" customHeight="1" x14ac:dyDescent="0.3">
      <c r="A39" s="8" t="s">
        <v>296</v>
      </c>
      <c r="B39" s="10">
        <f t="shared" si="10"/>
        <v>24080.555555555558</v>
      </c>
      <c r="C39" s="10">
        <f t="shared" si="11"/>
        <v>2</v>
      </c>
      <c r="D39" s="10">
        <f t="shared" si="12"/>
        <v>12.04027777777778</v>
      </c>
      <c r="E39" s="10">
        <f t="shared" si="13"/>
        <v>1.27564335</v>
      </c>
      <c r="F39" s="10">
        <f t="shared" si="14"/>
        <v>0.71346679687500003</v>
      </c>
      <c r="G39" s="10">
        <f t="shared" si="15"/>
        <v>14.029387924652779</v>
      </c>
      <c r="H39" s="10">
        <f t="shared" si="16"/>
        <v>15.942486278014522</v>
      </c>
      <c r="I39" s="8"/>
      <c r="J39" s="8"/>
      <c r="K39" s="11"/>
    </row>
    <row r="40" spans="1:11" ht="15" customHeight="1" x14ac:dyDescent="0.3">
      <c r="A40" s="8" t="s">
        <v>297</v>
      </c>
      <c r="B40" s="10">
        <f t="shared" si="10"/>
        <v>29431.790123456805</v>
      </c>
      <c r="C40" s="10">
        <f t="shared" si="11"/>
        <v>3</v>
      </c>
      <c r="D40" s="10">
        <f t="shared" si="12"/>
        <v>9.8105967078189344</v>
      </c>
      <c r="E40" s="10">
        <f t="shared" si="13"/>
        <v>1.5591196500000002</v>
      </c>
      <c r="F40" s="10">
        <f t="shared" si="14"/>
        <v>1.302639652456276</v>
      </c>
      <c r="G40" s="10">
        <f t="shared" si="15"/>
        <v>12.672356010275211</v>
      </c>
      <c r="H40" s="10">
        <f t="shared" si="16"/>
        <v>14.400404557130921</v>
      </c>
      <c r="I40" s="8"/>
      <c r="J40" s="8"/>
      <c r="K40" s="11"/>
    </row>
    <row r="41" spans="1:11" ht="15" customHeight="1" x14ac:dyDescent="0.3">
      <c r="A41" s="8" t="s">
        <v>298</v>
      </c>
      <c r="B41" s="10">
        <f t="shared" si="10"/>
        <v>34783.02469135799</v>
      </c>
      <c r="C41" s="10">
        <f t="shared" si="11"/>
        <v>3</v>
      </c>
      <c r="D41" s="10">
        <f t="shared" si="12"/>
        <v>11.594341563785996</v>
      </c>
      <c r="E41" s="10">
        <f t="shared" si="13"/>
        <v>1.8425959500000002</v>
      </c>
      <c r="F41" s="10">
        <f t="shared" si="14"/>
        <v>2.1501873151363173</v>
      </c>
      <c r="G41" s="10">
        <f t="shared" si="15"/>
        <v>15.587124828922313</v>
      </c>
      <c r="H41" s="10">
        <f t="shared" si="16"/>
        <v>17.712641851048083</v>
      </c>
      <c r="I41" s="8"/>
      <c r="J41" s="8"/>
      <c r="K41" s="11"/>
    </row>
    <row r="43" spans="1:11" ht="15" customHeight="1" x14ac:dyDescent="0.3">
      <c r="A43" s="1" t="s">
        <v>318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 customHeight="1" x14ac:dyDescent="0.3">
      <c r="A44" s="4" t="s">
        <v>2</v>
      </c>
      <c r="B44" s="4" t="s">
        <v>5</v>
      </c>
      <c r="C44" s="4" t="s">
        <v>4</v>
      </c>
      <c r="D44" s="4" t="s">
        <v>148</v>
      </c>
      <c r="E44" s="4"/>
      <c r="F44" s="4"/>
      <c r="G44" s="4"/>
      <c r="H44" s="4"/>
      <c r="I44" s="4"/>
      <c r="J44" s="4"/>
      <c r="K44" s="4" t="s">
        <v>7</v>
      </c>
    </row>
    <row r="45" spans="1:11" ht="15" customHeight="1" x14ac:dyDescent="0.3">
      <c r="A45" s="8" t="s">
        <v>319</v>
      </c>
      <c r="B45" s="10">
        <f>MAX(G27:G32)</f>
        <v>17.156080177674895</v>
      </c>
      <c r="C45" s="8" t="s">
        <v>210</v>
      </c>
      <c r="D45" s="8" t="s">
        <v>320</v>
      </c>
      <c r="E45" s="8"/>
      <c r="F45" s="8"/>
      <c r="G45" s="8"/>
      <c r="H45" s="8"/>
      <c r="I45" s="8"/>
      <c r="J45" s="8"/>
      <c r="K45" s="11" t="s">
        <v>321</v>
      </c>
    </row>
    <row r="46" spans="1:11" ht="15" customHeight="1" x14ac:dyDescent="0.3">
      <c r="A46" s="8" t="s">
        <v>322</v>
      </c>
      <c r="B46" s="10">
        <f>MAX(H27:H32)</f>
        <v>19.495545656448744</v>
      </c>
      <c r="C46" s="8" t="s">
        <v>210</v>
      </c>
      <c r="D46" s="8" t="s">
        <v>320</v>
      </c>
      <c r="E46" s="8"/>
      <c r="F46" s="8"/>
      <c r="G46" s="8"/>
      <c r="H46" s="8"/>
      <c r="I46" s="8"/>
      <c r="J46" s="8"/>
      <c r="K46" s="11" t="s">
        <v>323</v>
      </c>
    </row>
    <row r="47" spans="1:11" ht="15" customHeight="1" x14ac:dyDescent="0.3">
      <c r="A47" s="8" t="s">
        <v>324</v>
      </c>
      <c r="B47" s="10">
        <f>MAX(I27:I32)</f>
        <v>39.310541156144772</v>
      </c>
      <c r="C47" s="8" t="s">
        <v>195</v>
      </c>
      <c r="D47" s="8" t="s">
        <v>320</v>
      </c>
      <c r="E47" s="8"/>
      <c r="F47" s="8"/>
      <c r="G47" s="8"/>
      <c r="H47" s="8"/>
      <c r="I47" s="8"/>
      <c r="J47" s="8"/>
      <c r="K47" s="11" t="s">
        <v>325</v>
      </c>
    </row>
    <row r="48" spans="1:11" ht="15" customHeight="1" x14ac:dyDescent="0.3">
      <c r="A48" s="8" t="s">
        <v>326</v>
      </c>
      <c r="B48" s="10">
        <f>MAX(J27:J32)</f>
        <v>56.508827989706504</v>
      </c>
      <c r="C48" s="8" t="s">
        <v>214</v>
      </c>
      <c r="D48" s="8" t="s">
        <v>320</v>
      </c>
      <c r="E48" s="8"/>
      <c r="F48" s="8"/>
      <c r="G48" s="8"/>
      <c r="H48" s="8"/>
      <c r="I48" s="8"/>
      <c r="J48" s="8"/>
      <c r="K48" s="11" t="s">
        <v>327</v>
      </c>
    </row>
    <row r="49" spans="1:11" ht="15" customHeight="1" x14ac:dyDescent="0.3">
      <c r="A49" s="8" t="s">
        <v>328</v>
      </c>
      <c r="B49" s="10">
        <f>MAX(G36:G41)</f>
        <v>15.587124828922313</v>
      </c>
      <c r="C49" s="8" t="s">
        <v>210</v>
      </c>
      <c r="D49" s="8" t="s">
        <v>329</v>
      </c>
      <c r="E49" s="8"/>
      <c r="F49" s="8"/>
      <c r="G49" s="8"/>
      <c r="H49" s="8"/>
      <c r="I49" s="8"/>
      <c r="J49" s="8"/>
      <c r="K49" s="11" t="s">
        <v>330</v>
      </c>
    </row>
    <row r="50" spans="1:11" ht="15" customHeight="1" x14ac:dyDescent="0.3">
      <c r="A50" s="8" t="s">
        <v>331</v>
      </c>
      <c r="B50" s="10">
        <f>MAX(H36:H41)</f>
        <v>17.712641851048083</v>
      </c>
      <c r="C50" s="8" t="s">
        <v>210</v>
      </c>
      <c r="D50" s="8" t="s">
        <v>329</v>
      </c>
      <c r="E50" s="8"/>
      <c r="F50" s="8"/>
      <c r="G50" s="8"/>
      <c r="H50" s="8"/>
      <c r="I50" s="8"/>
      <c r="J50" s="8"/>
      <c r="K50" s="11" t="s">
        <v>332</v>
      </c>
    </row>
    <row r="51" spans="1:11" ht="15" customHeight="1" x14ac:dyDescent="0.3">
      <c r="A51" s="8" t="s">
        <v>333</v>
      </c>
      <c r="B51" s="10">
        <f>MAX(H36:H41)*1.15</f>
        <v>20.369538128705294</v>
      </c>
      <c r="C51" s="8" t="s">
        <v>210</v>
      </c>
      <c r="D51" s="8" t="s">
        <v>334</v>
      </c>
      <c r="E51" s="8"/>
      <c r="F51" s="8"/>
      <c r="G51" s="8"/>
      <c r="H51" s="8"/>
      <c r="I51" s="8"/>
      <c r="J51" s="8"/>
      <c r="K51" s="11" t="s">
        <v>335</v>
      </c>
    </row>
  </sheetData>
  <mergeCells count="6">
    <mergeCell ref="A43:K43"/>
    <mergeCell ref="A1:K1"/>
    <mergeCell ref="A3:K3"/>
    <mergeCell ref="A16:K16"/>
    <mergeCell ref="A25:K25"/>
    <mergeCell ref="A34:K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54"/>
  <sheetViews>
    <sheetView topLeftCell="A22" zoomScaleNormal="100" workbookViewId="0">
      <selection activeCell="C46" sqref="C46"/>
    </sheetView>
  </sheetViews>
  <sheetFormatPr defaultColWidth="8.6640625" defaultRowHeight="15" customHeight="1" x14ac:dyDescent="0.3"/>
  <cols>
    <col min="1" max="1" width="38" customWidth="1"/>
    <col min="2" max="2" width="8" customWidth="1"/>
    <col min="3" max="6" width="14" customWidth="1"/>
    <col min="7" max="7" width="16" customWidth="1"/>
    <col min="8" max="8" width="14" customWidth="1"/>
    <col min="9" max="9" width="48" customWidth="1"/>
  </cols>
  <sheetData>
    <row r="1" spans="1:9" ht="14.4" x14ac:dyDescent="0.3">
      <c r="A1" s="3" t="s">
        <v>336</v>
      </c>
      <c r="B1" s="3"/>
      <c r="C1" s="3"/>
      <c r="D1" s="3"/>
      <c r="E1" s="3"/>
      <c r="F1" s="3"/>
      <c r="G1" s="3"/>
      <c r="H1" s="3"/>
      <c r="I1" s="3"/>
    </row>
    <row r="3" spans="1:9" ht="15.6" x14ac:dyDescent="0.3">
      <c r="A3" s="2" t="s">
        <v>337</v>
      </c>
      <c r="B3" s="2"/>
      <c r="C3" s="2"/>
      <c r="D3" s="2"/>
      <c r="E3" s="2"/>
      <c r="F3" s="2"/>
      <c r="G3" s="2"/>
      <c r="H3" s="2"/>
      <c r="I3" s="2"/>
    </row>
    <row r="4" spans="1:9" ht="14.4" x14ac:dyDescent="0.3">
      <c r="A4" s="4" t="s">
        <v>2</v>
      </c>
      <c r="B4" s="4" t="s">
        <v>4</v>
      </c>
      <c r="C4" s="4" t="s">
        <v>338</v>
      </c>
      <c r="D4" s="4" t="s">
        <v>339</v>
      </c>
      <c r="E4" s="4" t="s">
        <v>340</v>
      </c>
      <c r="F4" s="4" t="s">
        <v>341</v>
      </c>
      <c r="G4" s="4" t="s">
        <v>342</v>
      </c>
      <c r="H4" s="4" t="s">
        <v>343</v>
      </c>
      <c r="I4" s="4" t="s">
        <v>7</v>
      </c>
    </row>
    <row r="5" spans="1:9" ht="14.4" x14ac:dyDescent="0.3">
      <c r="A5" s="5" t="s">
        <v>239</v>
      </c>
      <c r="B5" s="5" t="s">
        <v>210</v>
      </c>
      <c r="C5" s="5">
        <f>'Gradeability Power'!D52</f>
        <v>4.2729533571595164</v>
      </c>
      <c r="D5" s="5">
        <f>'Acceleration Power'!B46</f>
        <v>19.495545656448744</v>
      </c>
      <c r="E5" s="14">
        <f>MAX(C5,D5)</f>
        <v>19.495545656448744</v>
      </c>
      <c r="F5" s="5" t="str">
        <f>IF(D5&gt;=C5,"Acceleration","Gradeability")</f>
        <v>Acceleration</v>
      </c>
      <c r="G5" s="5" t="s">
        <v>344</v>
      </c>
      <c r="H5" s="5"/>
      <c r="I5" s="11" t="s">
        <v>345</v>
      </c>
    </row>
    <row r="6" spans="1:9" ht="14.4" x14ac:dyDescent="0.3">
      <c r="A6" s="5" t="s">
        <v>346</v>
      </c>
      <c r="B6" s="5" t="s">
        <v>195</v>
      </c>
      <c r="C6" s="5">
        <f>'Gradeability Power'!D41</f>
        <v>74.349388414575571</v>
      </c>
      <c r="D6" s="5">
        <f>'Acceleration Power'!B47</f>
        <v>39.310541156144772</v>
      </c>
      <c r="E6" s="14">
        <f>MAX(C6,D6)</f>
        <v>74.349388414575571</v>
      </c>
      <c r="F6" s="5" t="str">
        <f>IF(D6&gt;=C6,"Acceleration","Gradeability")</f>
        <v>Gradeability</v>
      </c>
      <c r="G6" s="5" t="s">
        <v>344</v>
      </c>
      <c r="H6" s="5"/>
      <c r="I6" s="11" t="s">
        <v>347</v>
      </c>
    </row>
    <row r="7" spans="1:9" ht="14.4" x14ac:dyDescent="0.3">
      <c r="A7" s="5" t="s">
        <v>247</v>
      </c>
      <c r="B7" s="5" t="s">
        <v>214</v>
      </c>
      <c r="C7" s="5">
        <f>'Gradeability Power'!D44</f>
        <v>12.385372049737729</v>
      </c>
      <c r="D7" s="5">
        <f>'Acceleration Power'!B48</f>
        <v>56.508827989706504</v>
      </c>
      <c r="E7" s="14">
        <f>MAX(C7,D7)</f>
        <v>56.508827989706504</v>
      </c>
      <c r="F7" s="5" t="str">
        <f>IF(D7&gt;=C7,"Acceleration","Gradeability")</f>
        <v>Acceleration</v>
      </c>
      <c r="G7" s="5" t="s">
        <v>344</v>
      </c>
      <c r="H7" s="5"/>
      <c r="I7" s="11" t="s">
        <v>348</v>
      </c>
    </row>
    <row r="9" spans="1:9" ht="15.6" x14ac:dyDescent="0.3">
      <c r="A9" s="2" t="s">
        <v>349</v>
      </c>
      <c r="B9" s="2"/>
      <c r="C9" s="2"/>
      <c r="D9" s="2"/>
      <c r="E9" s="2"/>
      <c r="F9" s="2"/>
      <c r="G9" s="2"/>
      <c r="H9" s="2"/>
      <c r="I9" s="2"/>
    </row>
    <row r="10" spans="1:9" ht="14.4" x14ac:dyDescent="0.3">
      <c r="A10" s="4" t="s">
        <v>2</v>
      </c>
      <c r="B10" s="4" t="s">
        <v>4</v>
      </c>
      <c r="C10" s="4" t="s">
        <v>5</v>
      </c>
      <c r="D10" s="4"/>
      <c r="E10" s="4"/>
      <c r="F10" s="4" t="s">
        <v>350</v>
      </c>
      <c r="G10" s="4"/>
      <c r="H10" s="4"/>
      <c r="I10" s="4" t="s">
        <v>7</v>
      </c>
    </row>
    <row r="11" spans="1:9" ht="14.4" x14ac:dyDescent="0.3">
      <c r="A11" s="5" t="s">
        <v>351</v>
      </c>
      <c r="B11" s="5" t="s">
        <v>18</v>
      </c>
      <c r="C11" s="6">
        <v>40</v>
      </c>
      <c r="D11" s="5"/>
      <c r="E11" s="5"/>
      <c r="F11" s="5"/>
      <c r="G11" s="5"/>
      <c r="H11" s="5"/>
      <c r="I11" s="11" t="s">
        <v>352</v>
      </c>
    </row>
    <row r="12" spans="1:9" ht="14.4" x14ac:dyDescent="0.3">
      <c r="A12" s="5" t="s">
        <v>353</v>
      </c>
      <c r="B12" s="5" t="s">
        <v>83</v>
      </c>
      <c r="C12" s="6">
        <v>0.5</v>
      </c>
      <c r="D12" s="5"/>
      <c r="E12" s="5"/>
      <c r="F12" s="5"/>
      <c r="G12" s="5"/>
      <c r="H12" s="5"/>
      <c r="I12" s="11" t="s">
        <v>354</v>
      </c>
    </row>
    <row r="13" spans="1:9" ht="14.4" x14ac:dyDescent="0.3">
      <c r="A13" s="5" t="s">
        <v>355</v>
      </c>
      <c r="B13" s="5" t="s">
        <v>14</v>
      </c>
      <c r="C13" s="12">
        <f>'Vehicle Specs'!D17</f>
        <v>843.52</v>
      </c>
      <c r="D13" s="5"/>
      <c r="E13" s="5"/>
      <c r="F13" s="5"/>
      <c r="G13" s="5"/>
      <c r="H13" s="5"/>
      <c r="I13" s="11" t="s">
        <v>356</v>
      </c>
    </row>
    <row r="14" spans="1:9" ht="14.4" x14ac:dyDescent="0.3">
      <c r="A14" s="5" t="s">
        <v>357</v>
      </c>
      <c r="B14" s="5" t="s">
        <v>181</v>
      </c>
      <c r="C14" s="7">
        <f>C13*C12</f>
        <v>421.76</v>
      </c>
      <c r="D14" s="5"/>
      <c r="E14" s="5"/>
      <c r="F14" s="5" t="s">
        <v>358</v>
      </c>
      <c r="G14" s="5"/>
      <c r="H14" s="5"/>
      <c r="I14" s="11" t="s">
        <v>359</v>
      </c>
    </row>
    <row r="15" spans="1:9" ht="14.4" x14ac:dyDescent="0.3">
      <c r="A15" s="5" t="s">
        <v>360</v>
      </c>
      <c r="B15" s="5" t="s">
        <v>181</v>
      </c>
      <c r="C15" s="7">
        <f>'Vehicle Specs'!D32*C13*'Vehicle Specs'!D33</f>
        <v>124.123968</v>
      </c>
      <c r="D15" s="5"/>
      <c r="E15" s="5"/>
      <c r="F15" s="5" t="s">
        <v>361</v>
      </c>
      <c r="G15" s="5"/>
      <c r="H15" s="5"/>
      <c r="I15" s="11" t="s">
        <v>362</v>
      </c>
    </row>
    <row r="16" spans="1:9" ht="27.6" x14ac:dyDescent="0.3">
      <c r="A16" s="5" t="s">
        <v>363</v>
      </c>
      <c r="B16" s="5" t="s">
        <v>181</v>
      </c>
      <c r="C16" s="7">
        <f>0.5*'Vehicle Specs'!D54*'Vehicle Specs'!D55*'Vehicle Specs'!D50*(C11/3.6)^2</f>
        <v>45.098148148148148</v>
      </c>
      <c r="D16" s="5"/>
      <c r="E16" s="5"/>
      <c r="F16" s="5" t="s">
        <v>364</v>
      </c>
      <c r="G16" s="5"/>
      <c r="H16" s="5"/>
      <c r="I16" s="11" t="s">
        <v>365</v>
      </c>
    </row>
    <row r="17" spans="1:9" ht="14.4" x14ac:dyDescent="0.3">
      <c r="A17" s="5" t="s">
        <v>366</v>
      </c>
      <c r="B17" s="5" t="s">
        <v>181</v>
      </c>
      <c r="C17" s="7">
        <f>C14+C15+C16</f>
        <v>590.98211614814818</v>
      </c>
      <c r="D17" s="5"/>
      <c r="E17" s="5"/>
      <c r="F17" s="5" t="s">
        <v>367</v>
      </c>
      <c r="G17" s="5"/>
      <c r="H17" s="5"/>
      <c r="I17" s="11" t="s">
        <v>368</v>
      </c>
    </row>
    <row r="18" spans="1:9" ht="14.4" x14ac:dyDescent="0.3">
      <c r="A18" s="5" t="s">
        <v>369</v>
      </c>
      <c r="B18" s="5" t="s">
        <v>210</v>
      </c>
      <c r="C18" s="7">
        <f>C17*(C11/3.6)/1000/'Vehicle Specs'!D31</f>
        <v>7.4618954059109619</v>
      </c>
      <c r="D18" s="5"/>
      <c r="E18" s="5"/>
      <c r="F18" s="5" t="s">
        <v>370</v>
      </c>
      <c r="G18" s="5"/>
      <c r="H18" s="5"/>
      <c r="I18" s="11" t="s">
        <v>371</v>
      </c>
    </row>
    <row r="19" spans="1:9" ht="14.4" x14ac:dyDescent="0.3">
      <c r="A19" s="5" t="s">
        <v>372</v>
      </c>
      <c r="B19" s="5" t="s">
        <v>195</v>
      </c>
      <c r="C19" s="7">
        <f>(C17*'Vehicle Specs'!D29)/('Vehicle Specs'!D31*'Vehicle Specs'!D30)</f>
        <v>16.229622507856341</v>
      </c>
      <c r="D19" s="5"/>
      <c r="E19" s="5"/>
      <c r="F19" s="5" t="s">
        <v>373</v>
      </c>
      <c r="G19" s="5"/>
      <c r="H19" s="5"/>
      <c r="I19" s="11" t="s">
        <v>374</v>
      </c>
    </row>
    <row r="20" spans="1:9" ht="14.4" x14ac:dyDescent="0.3">
      <c r="A20" s="5" t="s">
        <v>375</v>
      </c>
      <c r="B20" s="5" t="s">
        <v>214</v>
      </c>
      <c r="C20" s="7">
        <f>C18*1000/'Vehicle Specs'!D22</f>
        <v>21.628682335973803</v>
      </c>
      <c r="D20" s="5"/>
      <c r="E20" s="5"/>
      <c r="F20" s="5" t="s">
        <v>376</v>
      </c>
      <c r="G20" s="5"/>
      <c r="H20" s="5"/>
      <c r="I20" s="11" t="s">
        <v>377</v>
      </c>
    </row>
    <row r="22" spans="1:9" ht="15.6" x14ac:dyDescent="0.3">
      <c r="A22" s="2" t="s">
        <v>378</v>
      </c>
      <c r="B22" s="2"/>
      <c r="C22" s="2"/>
      <c r="D22" s="2"/>
      <c r="E22" s="2"/>
      <c r="F22" s="2"/>
      <c r="G22" s="2"/>
      <c r="H22" s="2"/>
      <c r="I22" s="2"/>
    </row>
    <row r="23" spans="1:9" ht="14.4" x14ac:dyDescent="0.3">
      <c r="A23" s="4" t="s">
        <v>2</v>
      </c>
      <c r="B23" s="4" t="s">
        <v>4</v>
      </c>
      <c r="C23" s="4" t="s">
        <v>379</v>
      </c>
      <c r="D23" s="4" t="s">
        <v>343</v>
      </c>
      <c r="E23" s="4" t="s">
        <v>380</v>
      </c>
      <c r="F23" s="4" t="s">
        <v>342</v>
      </c>
      <c r="G23" s="4" t="s">
        <v>341</v>
      </c>
      <c r="H23" s="4"/>
      <c r="I23" s="4" t="s">
        <v>7</v>
      </c>
    </row>
    <row r="24" spans="1:9" ht="14.4" x14ac:dyDescent="0.3">
      <c r="A24" s="5" t="s">
        <v>381</v>
      </c>
      <c r="B24" s="5"/>
      <c r="C24" s="5" t="s">
        <v>382</v>
      </c>
      <c r="D24" s="5"/>
      <c r="E24" s="5"/>
      <c r="F24" s="5"/>
      <c r="G24" s="5"/>
      <c r="H24" s="5"/>
      <c r="I24" s="11" t="s">
        <v>383</v>
      </c>
    </row>
    <row r="25" spans="1:9" ht="14.4" x14ac:dyDescent="0.3">
      <c r="A25" s="5" t="s">
        <v>384</v>
      </c>
      <c r="B25" s="5" t="s">
        <v>54</v>
      </c>
      <c r="C25" s="5">
        <f>'Vehicle Specs'!D22</f>
        <v>345</v>
      </c>
      <c r="D25" s="5"/>
      <c r="E25" s="5"/>
      <c r="F25" s="5"/>
      <c r="G25" s="5"/>
      <c r="H25" s="5"/>
      <c r="I25" s="11" t="s">
        <v>385</v>
      </c>
    </row>
    <row r="26" spans="1:9" ht="14.4" x14ac:dyDescent="0.3">
      <c r="A26" s="5" t="s">
        <v>239</v>
      </c>
      <c r="B26" s="5" t="s">
        <v>210</v>
      </c>
      <c r="C26" s="5">
        <f>E5</f>
        <v>19.495545656448744</v>
      </c>
      <c r="D26" s="5" t="s">
        <v>386</v>
      </c>
      <c r="E26" s="14">
        <f>C26*1.15</f>
        <v>22.419877504916055</v>
      </c>
      <c r="F26" s="5" t="s">
        <v>344</v>
      </c>
      <c r="G26" s="5" t="str">
        <f>F5</f>
        <v>Acceleration</v>
      </c>
      <c r="H26" s="5"/>
      <c r="I26" s="11" t="s">
        <v>387</v>
      </c>
    </row>
    <row r="27" spans="1:9" ht="14.4" x14ac:dyDescent="0.3">
      <c r="A27" s="5" t="s">
        <v>388</v>
      </c>
      <c r="B27" s="5" t="s">
        <v>210</v>
      </c>
      <c r="C27" s="5">
        <f>C18</f>
        <v>7.4618954059109619</v>
      </c>
      <c r="D27" s="5" t="s">
        <v>386</v>
      </c>
      <c r="E27" s="14">
        <f>C27*1.15</f>
        <v>8.5811797167976049</v>
      </c>
      <c r="F27" s="5" t="s">
        <v>389</v>
      </c>
      <c r="G27" s="5" t="s">
        <v>390</v>
      </c>
      <c r="H27" s="5"/>
      <c r="I27" s="11" t="s">
        <v>391</v>
      </c>
    </row>
    <row r="28" spans="1:9" ht="14.4" x14ac:dyDescent="0.3">
      <c r="A28" s="5" t="s">
        <v>346</v>
      </c>
      <c r="B28" s="5" t="s">
        <v>195</v>
      </c>
      <c r="C28" s="5">
        <f>E6</f>
        <v>74.349388414575571</v>
      </c>
      <c r="D28" s="5" t="s">
        <v>386</v>
      </c>
      <c r="E28" s="14">
        <f>C28*1.15</f>
        <v>85.501796676761899</v>
      </c>
      <c r="F28" s="5" t="s">
        <v>344</v>
      </c>
      <c r="G28" s="5" t="str">
        <f>F6</f>
        <v>Gradeability</v>
      </c>
      <c r="H28" s="5"/>
      <c r="I28" s="11" t="s">
        <v>392</v>
      </c>
    </row>
    <row r="29" spans="1:9" ht="14.4" x14ac:dyDescent="0.3">
      <c r="A29" s="5" t="s">
        <v>393</v>
      </c>
      <c r="B29" s="5" t="s">
        <v>195</v>
      </c>
      <c r="C29" s="5">
        <f>C19</f>
        <v>16.229622507856341</v>
      </c>
      <c r="D29" s="5" t="s">
        <v>386</v>
      </c>
      <c r="E29" s="14">
        <f>C29*1.15</f>
        <v>18.664065884034791</v>
      </c>
      <c r="F29" s="5" t="s">
        <v>389</v>
      </c>
      <c r="G29" s="5" t="s">
        <v>390</v>
      </c>
      <c r="H29" s="5"/>
      <c r="I29" s="11" t="s">
        <v>394</v>
      </c>
    </row>
    <row r="30" spans="1:9" ht="14.4" x14ac:dyDescent="0.3">
      <c r="A30" s="5" t="s">
        <v>395</v>
      </c>
      <c r="B30" s="5"/>
      <c r="C30" s="5" t="s">
        <v>396</v>
      </c>
      <c r="D30" s="5"/>
      <c r="E30" s="5"/>
      <c r="F30" s="5"/>
      <c r="G30" s="5"/>
      <c r="H30" s="5"/>
      <c r="I30" s="11" t="s">
        <v>397</v>
      </c>
    </row>
    <row r="31" spans="1:9" ht="14.4" x14ac:dyDescent="0.3">
      <c r="A31" s="5" t="s">
        <v>398</v>
      </c>
      <c r="B31" s="5"/>
      <c r="C31" s="5" t="s">
        <v>399</v>
      </c>
      <c r="D31" s="5"/>
      <c r="E31" s="5"/>
      <c r="F31" s="5"/>
      <c r="G31" s="5"/>
      <c r="H31" s="5"/>
      <c r="I31" s="11" t="s">
        <v>400</v>
      </c>
    </row>
    <row r="33" spans="1:9" ht="15.6" x14ac:dyDescent="0.3">
      <c r="A33" s="2" t="s">
        <v>401</v>
      </c>
      <c r="B33" s="2"/>
      <c r="C33" s="2"/>
      <c r="D33" s="2"/>
      <c r="E33" s="2"/>
      <c r="F33" s="2"/>
      <c r="G33" s="2"/>
      <c r="H33" s="2"/>
      <c r="I33" s="2"/>
    </row>
    <row r="34" spans="1:9" ht="14.4" x14ac:dyDescent="0.3">
      <c r="A34" s="4" t="s">
        <v>2</v>
      </c>
      <c r="B34" s="4" t="s">
        <v>4</v>
      </c>
      <c r="C34" s="4" t="s">
        <v>379</v>
      </c>
      <c r="D34" s="4" t="s">
        <v>343</v>
      </c>
      <c r="E34" s="4" t="s">
        <v>380</v>
      </c>
      <c r="F34" s="4" t="s">
        <v>342</v>
      </c>
      <c r="G34" s="4" t="s">
        <v>341</v>
      </c>
      <c r="H34" s="4"/>
      <c r="I34" s="4" t="s">
        <v>7</v>
      </c>
    </row>
    <row r="35" spans="1:9" ht="14.4" x14ac:dyDescent="0.3">
      <c r="A35" s="5" t="s">
        <v>402</v>
      </c>
      <c r="B35" s="5"/>
      <c r="C35" s="5" t="s">
        <v>403</v>
      </c>
      <c r="D35" s="5"/>
      <c r="E35" s="5"/>
      <c r="F35" s="5"/>
      <c r="G35" s="5"/>
      <c r="H35" s="5"/>
      <c r="I35" s="11" t="s">
        <v>404</v>
      </c>
    </row>
    <row r="36" spans="1:9" ht="14.4" x14ac:dyDescent="0.3">
      <c r="A36" s="5" t="s">
        <v>405</v>
      </c>
      <c r="B36" s="5" t="s">
        <v>54</v>
      </c>
      <c r="C36" s="5">
        <f>'Vehicle Specs'!D22</f>
        <v>345</v>
      </c>
      <c r="D36" s="5"/>
      <c r="E36" s="5"/>
      <c r="F36" s="5"/>
      <c r="G36" s="5"/>
      <c r="H36" s="5"/>
      <c r="I36" s="11" t="s">
        <v>406</v>
      </c>
    </row>
    <row r="37" spans="1:9" ht="14.4" x14ac:dyDescent="0.3">
      <c r="A37" s="5" t="s">
        <v>247</v>
      </c>
      <c r="B37" s="5" t="s">
        <v>214</v>
      </c>
      <c r="C37" s="5">
        <f>E7</f>
        <v>56.508827989706504</v>
      </c>
      <c r="D37" s="5" t="s">
        <v>407</v>
      </c>
      <c r="E37" s="14">
        <f>ROUNDUP(C37*1.1,-1)</f>
        <v>70</v>
      </c>
      <c r="F37" s="5" t="s">
        <v>344</v>
      </c>
      <c r="G37" s="5" t="str">
        <f>F7</f>
        <v>Acceleration</v>
      </c>
      <c r="H37" s="5"/>
      <c r="I37" s="11" t="s">
        <v>408</v>
      </c>
    </row>
    <row r="38" spans="1:9" ht="14.4" x14ac:dyDescent="0.3">
      <c r="A38" s="5" t="s">
        <v>409</v>
      </c>
      <c r="B38" s="5" t="s">
        <v>214</v>
      </c>
      <c r="C38" s="5">
        <f>C20</f>
        <v>21.628682335973803</v>
      </c>
      <c r="D38" s="5" t="s">
        <v>407</v>
      </c>
      <c r="E38" s="14">
        <f>ROUNDUP(C38*1.1,-1)</f>
        <v>30</v>
      </c>
      <c r="F38" s="5" t="s">
        <v>389</v>
      </c>
      <c r="G38" s="5" t="s">
        <v>390</v>
      </c>
      <c r="H38" s="5"/>
      <c r="I38" s="11" t="s">
        <v>410</v>
      </c>
    </row>
    <row r="39" spans="1:9" ht="14.4" x14ac:dyDescent="0.3">
      <c r="A39" s="5" t="s">
        <v>411</v>
      </c>
      <c r="B39" s="5"/>
      <c r="C39" s="5" t="s">
        <v>412</v>
      </c>
      <c r="D39" s="5"/>
      <c r="E39" s="5"/>
      <c r="F39" s="5"/>
      <c r="G39" s="5"/>
      <c r="H39" s="5"/>
      <c r="I39" s="11" t="s">
        <v>413</v>
      </c>
    </row>
    <row r="41" spans="1:9" ht="15.6" x14ac:dyDescent="0.3">
      <c r="A41" s="2" t="s">
        <v>414</v>
      </c>
      <c r="B41" s="2"/>
      <c r="C41" s="2"/>
      <c r="D41" s="2"/>
      <c r="E41" s="2"/>
      <c r="F41" s="2"/>
      <c r="G41" s="2"/>
      <c r="H41" s="2"/>
      <c r="I41" s="2"/>
    </row>
    <row r="42" spans="1:9" ht="14.4" x14ac:dyDescent="0.3">
      <c r="A42" s="4" t="s">
        <v>2</v>
      </c>
      <c r="B42" s="4" t="s">
        <v>4</v>
      </c>
      <c r="C42" s="4" t="s">
        <v>379</v>
      </c>
      <c r="D42" s="4" t="s">
        <v>343</v>
      </c>
      <c r="E42" s="4" t="s">
        <v>380</v>
      </c>
      <c r="F42" s="4"/>
      <c r="G42" s="4" t="s">
        <v>341</v>
      </c>
      <c r="H42" s="4"/>
      <c r="I42" s="4" t="s">
        <v>7</v>
      </c>
    </row>
    <row r="43" spans="1:9" ht="14.4" x14ac:dyDescent="0.3">
      <c r="A43" s="5" t="s">
        <v>415</v>
      </c>
      <c r="B43" s="5"/>
      <c r="C43" s="5" t="s">
        <v>416</v>
      </c>
      <c r="D43" s="5"/>
      <c r="E43" s="5"/>
      <c r="F43" s="5"/>
      <c r="G43" s="5"/>
      <c r="H43" s="5"/>
      <c r="I43" s="11" t="s">
        <v>417</v>
      </c>
    </row>
    <row r="44" spans="1:9" ht="14.4" x14ac:dyDescent="0.3">
      <c r="A44" s="5" t="s">
        <v>155</v>
      </c>
      <c r="B44" s="5" t="s">
        <v>74</v>
      </c>
      <c r="C44" s="5">
        <f>'Vehicle Specs'!D30</f>
        <v>12</v>
      </c>
      <c r="D44" s="5"/>
      <c r="E44" s="5"/>
      <c r="F44" s="5"/>
      <c r="G44" s="5"/>
      <c r="H44" s="5"/>
      <c r="I44" s="11" t="s">
        <v>156</v>
      </c>
    </row>
    <row r="45" spans="1:9" ht="14.4" x14ac:dyDescent="0.3">
      <c r="A45" s="5" t="s">
        <v>418</v>
      </c>
      <c r="B45" s="5" t="s">
        <v>195</v>
      </c>
      <c r="C45" s="5">
        <f>E6</f>
        <v>74.349388414575571</v>
      </c>
      <c r="D45" s="5" t="s">
        <v>407</v>
      </c>
      <c r="E45" s="14">
        <f>ROUNDUP(C45*1.1,-1)</f>
        <v>90</v>
      </c>
      <c r="F45" s="5"/>
      <c r="G45" s="5" t="str">
        <f>F6</f>
        <v>Gradeability</v>
      </c>
      <c r="H45" s="5"/>
      <c r="I45" s="11" t="s">
        <v>419</v>
      </c>
    </row>
    <row r="46" spans="1:9" ht="14.4" x14ac:dyDescent="0.3">
      <c r="A46" s="5" t="s">
        <v>420</v>
      </c>
      <c r="B46" s="5" t="s">
        <v>14</v>
      </c>
      <c r="C46" s="5">
        <f>'Vehicle Specs'!D17</f>
        <v>843.52</v>
      </c>
      <c r="D46" s="5" t="s">
        <v>407</v>
      </c>
      <c r="E46" s="14">
        <f>ROUNDUP('Vehicle Specs'!D17*1.1,-2)</f>
        <v>1000</v>
      </c>
      <c r="F46" s="5"/>
      <c r="G46" s="5"/>
      <c r="H46" s="5"/>
      <c r="I46" s="11" t="s">
        <v>421</v>
      </c>
    </row>
    <row r="48" spans="1:9" ht="15.6" x14ac:dyDescent="0.3">
      <c r="A48" s="2" t="s">
        <v>47</v>
      </c>
      <c r="B48" s="2"/>
      <c r="C48" s="2"/>
      <c r="D48" s="2"/>
      <c r="E48" s="2"/>
      <c r="F48" s="2"/>
      <c r="G48" s="2"/>
      <c r="H48" s="2"/>
      <c r="I48" s="2"/>
    </row>
    <row r="49" spans="1:9" ht="14.4" x14ac:dyDescent="0.3">
      <c r="A49" s="4" t="s">
        <v>2</v>
      </c>
      <c r="B49" s="4" t="s">
        <v>4</v>
      </c>
      <c r="C49" s="4" t="s">
        <v>5</v>
      </c>
      <c r="D49" s="4"/>
      <c r="E49" s="4"/>
      <c r="F49" s="4"/>
      <c r="G49" s="4"/>
      <c r="H49" s="4"/>
      <c r="I49" s="4" t="s">
        <v>7</v>
      </c>
    </row>
    <row r="50" spans="1:9" ht="14.4" x14ac:dyDescent="0.3">
      <c r="A50" s="5" t="s">
        <v>422</v>
      </c>
      <c r="B50" s="5"/>
      <c r="C50" s="12" t="str">
        <f>'Vehicle Specs'!D21</f>
        <v>LFP</v>
      </c>
      <c r="D50" s="5"/>
      <c r="E50" s="5"/>
      <c r="F50" s="5"/>
      <c r="G50" s="5"/>
      <c r="H50" s="5"/>
      <c r="I50" s="11" t="s">
        <v>423</v>
      </c>
    </row>
    <row r="51" spans="1:9" ht="14.4" x14ac:dyDescent="0.3">
      <c r="A51" s="5" t="s">
        <v>52</v>
      </c>
      <c r="B51" s="5" t="s">
        <v>54</v>
      </c>
      <c r="C51" s="12">
        <f>'Vehicle Specs'!D22</f>
        <v>345</v>
      </c>
      <c r="D51" s="5"/>
      <c r="E51" s="5"/>
      <c r="F51" s="5"/>
      <c r="G51" s="5"/>
      <c r="H51" s="5"/>
      <c r="I51" s="11" t="s">
        <v>424</v>
      </c>
    </row>
    <row r="52" spans="1:9" ht="14.4" x14ac:dyDescent="0.3">
      <c r="A52" s="5" t="s">
        <v>56</v>
      </c>
      <c r="B52" s="5" t="s">
        <v>58</v>
      </c>
      <c r="C52" s="12">
        <f>'Vehicle Specs'!D23</f>
        <v>52</v>
      </c>
      <c r="D52" s="5"/>
      <c r="E52" s="5"/>
      <c r="F52" s="5"/>
      <c r="G52" s="5"/>
      <c r="H52" s="5"/>
      <c r="I52" s="11" t="s">
        <v>425</v>
      </c>
    </row>
    <row r="53" spans="1:9" ht="14.4" x14ac:dyDescent="0.3">
      <c r="A53" s="5" t="s">
        <v>426</v>
      </c>
      <c r="B53" s="5" t="s">
        <v>62</v>
      </c>
      <c r="C53" s="12">
        <f>'Vehicle Specs'!D24</f>
        <v>17.940000000000001</v>
      </c>
      <c r="D53" s="5"/>
      <c r="E53" s="5"/>
      <c r="F53" s="5"/>
      <c r="G53" s="5"/>
      <c r="H53" s="5"/>
      <c r="I53" s="11" t="s">
        <v>427</v>
      </c>
    </row>
    <row r="54" spans="1:9" ht="14.4" x14ac:dyDescent="0.3">
      <c r="A54" s="5" t="s">
        <v>65</v>
      </c>
      <c r="B54" s="5" t="s">
        <v>62</v>
      </c>
      <c r="C54" s="12">
        <f>'Vehicle Specs'!D25</f>
        <v>14.352000000000002</v>
      </c>
      <c r="D54" s="5"/>
      <c r="E54" s="5"/>
      <c r="F54" s="5"/>
      <c r="G54" s="5"/>
      <c r="H54" s="5"/>
      <c r="I54" s="11" t="s">
        <v>428</v>
      </c>
    </row>
  </sheetData>
  <mergeCells count="7">
    <mergeCell ref="A41:I41"/>
    <mergeCell ref="A48:I48"/>
    <mergeCell ref="A1:I1"/>
    <mergeCell ref="A3:I3"/>
    <mergeCell ref="A9:I9"/>
    <mergeCell ref="A22:I22"/>
    <mergeCell ref="A33:I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M36"/>
  <sheetViews>
    <sheetView zoomScaleNormal="100" workbookViewId="0">
      <selection activeCell="C36" sqref="C36"/>
    </sheetView>
  </sheetViews>
  <sheetFormatPr defaultColWidth="8.6640625" defaultRowHeight="15" customHeight="1" x14ac:dyDescent="0.3"/>
  <cols>
    <col min="1" max="1" width="16" customWidth="1"/>
    <col min="2" max="2" width="12" customWidth="1"/>
    <col min="3" max="8" width="14" customWidth="1"/>
    <col min="9" max="9" width="12" customWidth="1"/>
    <col min="10" max="12" width="10" customWidth="1"/>
    <col min="13" max="13" width="12" customWidth="1"/>
  </cols>
  <sheetData>
    <row r="1" spans="1:13" ht="14.4" x14ac:dyDescent="0.3">
      <c r="A1" s="3" t="s">
        <v>429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ht="15.6" x14ac:dyDescent="0.3">
      <c r="A3" s="2" t="s">
        <v>430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4.4" x14ac:dyDescent="0.3">
      <c r="A4" s="4" t="s">
        <v>2</v>
      </c>
      <c r="B4" s="4" t="s">
        <v>4</v>
      </c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4" t="s">
        <v>7</v>
      </c>
    </row>
    <row r="5" spans="1:13" ht="39.6" x14ac:dyDescent="0.3">
      <c r="A5" s="5" t="s">
        <v>431</v>
      </c>
      <c r="B5" s="5" t="s">
        <v>210</v>
      </c>
      <c r="C5" s="12">
        <f>'Powertrain Summary'!E26</f>
        <v>22.419877504916055</v>
      </c>
      <c r="D5" s="5"/>
      <c r="E5" s="5"/>
      <c r="F5" s="5"/>
      <c r="G5" s="5"/>
      <c r="H5" s="5"/>
      <c r="I5" s="5"/>
      <c r="J5" s="5"/>
      <c r="K5" s="5"/>
      <c r="L5" s="5"/>
      <c r="M5" s="11" t="s">
        <v>432</v>
      </c>
    </row>
    <row r="6" spans="1:13" ht="39.6" x14ac:dyDescent="0.3">
      <c r="A6" s="5" t="s">
        <v>433</v>
      </c>
      <c r="B6" s="5" t="s">
        <v>195</v>
      </c>
      <c r="C6" s="12">
        <f>'Powertrain Summary'!E28</f>
        <v>85.501796676761899</v>
      </c>
      <c r="D6" s="5"/>
      <c r="E6" s="5"/>
      <c r="F6" s="5"/>
      <c r="G6" s="5"/>
      <c r="H6" s="5"/>
      <c r="I6" s="5"/>
      <c r="J6" s="5"/>
      <c r="K6" s="5"/>
      <c r="L6" s="5"/>
      <c r="M6" s="11" t="s">
        <v>434</v>
      </c>
    </row>
    <row r="7" spans="1:13" ht="52.8" x14ac:dyDescent="0.3">
      <c r="A7" s="5" t="s">
        <v>142</v>
      </c>
      <c r="B7" s="5" t="s">
        <v>14</v>
      </c>
      <c r="C7" s="12">
        <f>'Vehicle Specs'!D68</f>
        <v>693.52</v>
      </c>
      <c r="D7" s="5"/>
      <c r="E7" s="5"/>
      <c r="F7" s="5"/>
      <c r="G7" s="5"/>
      <c r="H7" s="5"/>
      <c r="I7" s="5"/>
      <c r="J7" s="5"/>
      <c r="K7" s="5"/>
      <c r="L7" s="5"/>
      <c r="M7" s="11" t="s">
        <v>279</v>
      </c>
    </row>
    <row r="9" spans="1:13" ht="15.6" x14ac:dyDescent="0.3">
      <c r="A9" s="2" t="s">
        <v>435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28.2" x14ac:dyDescent="0.3">
      <c r="A10" s="4" t="s">
        <v>436</v>
      </c>
      <c r="B10" s="4" t="s">
        <v>437</v>
      </c>
      <c r="C10" s="4" t="s">
        <v>438</v>
      </c>
      <c r="D10" s="4" t="s">
        <v>439</v>
      </c>
      <c r="E10" s="4" t="s">
        <v>440</v>
      </c>
      <c r="F10" s="4" t="s">
        <v>302</v>
      </c>
      <c r="G10" s="4" t="s">
        <v>303</v>
      </c>
      <c r="H10" s="4" t="s">
        <v>441</v>
      </c>
      <c r="I10" s="4" t="s">
        <v>442</v>
      </c>
      <c r="J10" s="4" t="s">
        <v>443</v>
      </c>
      <c r="K10" s="4" t="s">
        <v>444</v>
      </c>
      <c r="L10" s="4" t="s">
        <v>445</v>
      </c>
      <c r="M10" s="4" t="s">
        <v>446</v>
      </c>
    </row>
    <row r="11" spans="1:13" ht="14.4" x14ac:dyDescent="0.3">
      <c r="A11" s="8">
        <v>0</v>
      </c>
      <c r="B11" s="10">
        <f t="shared" ref="B11:B25" si="0">MAX(A11/3.6, 0.1)</f>
        <v>0.1</v>
      </c>
      <c r="C11" s="10">
        <f>C$6*'Vehicle Specs'!D30*'Vehicle Specs'!D31/'Vehicle Specs'!D29</f>
        <v>3113.4447341607092</v>
      </c>
      <c r="D11" s="10">
        <f>C$5*1000*'Vehicle Specs'!D31/B11</f>
        <v>197294.92204326126</v>
      </c>
      <c r="E11" s="10">
        <f t="shared" ref="E11:E25" si="1">MIN(C11,D11)</f>
        <v>3113.4447341607092</v>
      </c>
      <c r="F11" s="10">
        <f>'Vehicle Specs'!D32*C$7*'Vehicle Specs'!D33</f>
        <v>102.051468</v>
      </c>
      <c r="G11" s="10">
        <f>0.5*'Vehicle Specs'!D54*'Vehicle Specs'!D55*'Vehicle Specs'!D50*B11^2</f>
        <v>3.6529500000000012E-3</v>
      </c>
      <c r="H11" s="10">
        <f t="shared" ref="H11:H25" si="2">MAX(E11-F11-G11, 0)</f>
        <v>3011.3896132107093</v>
      </c>
      <c r="I11" s="10">
        <f t="shared" ref="I11:I25" si="3">IF(H11&gt;0, H11/C$7, 0)</f>
        <v>4.3421813548429888</v>
      </c>
      <c r="J11" s="10" t="str">
        <f t="shared" ref="J11:J25" si="4">IF(H11=0,"Cannot accel",IF(C11&lt;=D11,"Torque","Power"))</f>
        <v>Torque</v>
      </c>
      <c r="K11" s="10">
        <v>0</v>
      </c>
      <c r="L11" s="10">
        <v>0</v>
      </c>
      <c r="M11" s="10">
        <v>0</v>
      </c>
    </row>
    <row r="12" spans="1:13" ht="14.4" x14ac:dyDescent="0.3">
      <c r="A12" s="8">
        <v>5</v>
      </c>
      <c r="B12" s="10">
        <f t="shared" si="0"/>
        <v>1.3888888888888888</v>
      </c>
      <c r="C12" s="10">
        <f>C$6*'Vehicle Specs'!D30*'Vehicle Specs'!D31/'Vehicle Specs'!D29</f>
        <v>3113.4447341607092</v>
      </c>
      <c r="D12" s="10">
        <f>C$5*1000*'Vehicle Specs'!D31/B12</f>
        <v>14205.234387114813</v>
      </c>
      <c r="E12" s="10">
        <f t="shared" si="1"/>
        <v>3113.4447341607092</v>
      </c>
      <c r="F12" s="10">
        <f>'Vehicle Specs'!D32*C$7*'Vehicle Specs'!D33</f>
        <v>102.051468</v>
      </c>
      <c r="G12" s="10">
        <f>0.5*'Vehicle Specs'!D54*'Vehicle Specs'!D55*'Vehicle Specs'!D50*B12^2</f>
        <v>0.70465856481481481</v>
      </c>
      <c r="H12" s="10">
        <f t="shared" si="2"/>
        <v>3010.6886075958942</v>
      </c>
      <c r="I12" s="10">
        <f t="shared" si="3"/>
        <v>4.3411705611891422</v>
      </c>
      <c r="J12" s="10" t="str">
        <f t="shared" si="4"/>
        <v>Torque</v>
      </c>
      <c r="K12" s="10">
        <f t="shared" ref="K12:K25" si="5">B12-B11</f>
        <v>1.2888888888888888</v>
      </c>
      <c r="L12" s="10">
        <f t="shared" ref="L12:L25" si="6">IF(I12+I11&gt;0, 2*K12/(I12+I11), 999)</f>
        <v>0.29686436789673459</v>
      </c>
      <c r="M12" s="10">
        <f t="shared" ref="M12:M25" si="7">M11+L12</f>
        <v>0.29686436789673459</v>
      </c>
    </row>
    <row r="13" spans="1:13" ht="14.4" x14ac:dyDescent="0.3">
      <c r="A13" s="8">
        <v>10</v>
      </c>
      <c r="B13" s="10">
        <f t="shared" si="0"/>
        <v>2.7777777777777777</v>
      </c>
      <c r="C13" s="10">
        <f>C$6*'Vehicle Specs'!D30*'Vehicle Specs'!D31/'Vehicle Specs'!D29</f>
        <v>3113.4447341607092</v>
      </c>
      <c r="D13" s="10">
        <f>C$5*1000*'Vehicle Specs'!D31/B13</f>
        <v>7102.6171935574066</v>
      </c>
      <c r="E13" s="10">
        <f t="shared" si="1"/>
        <v>3113.4447341607092</v>
      </c>
      <c r="F13" s="10">
        <f>'Vehicle Specs'!D32*C$7*'Vehicle Specs'!D33</f>
        <v>102.051468</v>
      </c>
      <c r="G13" s="10">
        <f>0.5*'Vehicle Specs'!D54*'Vehicle Specs'!D55*'Vehicle Specs'!D50*B13^2</f>
        <v>2.8186342592592593</v>
      </c>
      <c r="H13" s="10">
        <f t="shared" si="2"/>
        <v>3008.5746319014497</v>
      </c>
      <c r="I13" s="10">
        <f t="shared" si="3"/>
        <v>4.3381223784482783</v>
      </c>
      <c r="J13" s="10" t="str">
        <f t="shared" si="4"/>
        <v>Torque</v>
      </c>
      <c r="K13" s="10">
        <f t="shared" si="5"/>
        <v>1.3888888888888888</v>
      </c>
      <c r="L13" s="10">
        <f t="shared" si="6"/>
        <v>0.32004655184432801</v>
      </c>
      <c r="M13" s="10">
        <f t="shared" si="7"/>
        <v>0.6169109197410626</v>
      </c>
    </row>
    <row r="14" spans="1:13" ht="14.4" x14ac:dyDescent="0.3">
      <c r="A14" s="8">
        <v>15</v>
      </c>
      <c r="B14" s="10">
        <f t="shared" si="0"/>
        <v>4.166666666666667</v>
      </c>
      <c r="C14" s="10">
        <f>C$6*'Vehicle Specs'!D30*'Vehicle Specs'!D31/'Vehicle Specs'!D29</f>
        <v>3113.4447341607092</v>
      </c>
      <c r="D14" s="10">
        <f>C$5*1000*'Vehicle Specs'!D31/B14</f>
        <v>4735.0781290382702</v>
      </c>
      <c r="E14" s="10">
        <f t="shared" si="1"/>
        <v>3113.4447341607092</v>
      </c>
      <c r="F14" s="10">
        <f>'Vehicle Specs'!D32*C$7*'Vehicle Specs'!D33</f>
        <v>102.051468</v>
      </c>
      <c r="G14" s="10">
        <f>0.5*'Vehicle Specs'!D54*'Vehicle Specs'!D55*'Vehicle Specs'!D50*B14^2</f>
        <v>6.341927083333335</v>
      </c>
      <c r="H14" s="10">
        <f t="shared" si="2"/>
        <v>3005.0513390773758</v>
      </c>
      <c r="I14" s="10">
        <f t="shared" si="3"/>
        <v>4.3330420738801703</v>
      </c>
      <c r="J14" s="10" t="str">
        <f t="shared" si="4"/>
        <v>Torque</v>
      </c>
      <c r="K14" s="10">
        <f t="shared" si="5"/>
        <v>1.3888888888888893</v>
      </c>
      <c r="L14" s="10">
        <f t="shared" si="6"/>
        <v>0.32034656856633231</v>
      </c>
      <c r="M14" s="10">
        <f t="shared" si="7"/>
        <v>0.93725748830739497</v>
      </c>
    </row>
    <row r="15" spans="1:13" ht="14.4" x14ac:dyDescent="0.3">
      <c r="A15" s="8">
        <v>20</v>
      </c>
      <c r="B15" s="10">
        <f t="shared" si="0"/>
        <v>5.5555555555555554</v>
      </c>
      <c r="C15" s="10">
        <f>C$6*'Vehicle Specs'!D30*'Vehicle Specs'!D31/'Vehicle Specs'!D29</f>
        <v>3113.4447341607092</v>
      </c>
      <c r="D15" s="10">
        <f>C$5*1000*'Vehicle Specs'!D31/B15</f>
        <v>3551.3085967787033</v>
      </c>
      <c r="E15" s="10">
        <f t="shared" si="1"/>
        <v>3113.4447341607092</v>
      </c>
      <c r="F15" s="10">
        <f>'Vehicle Specs'!D32*C$7*'Vehicle Specs'!D33</f>
        <v>102.051468</v>
      </c>
      <c r="G15" s="10">
        <f>0.5*'Vehicle Specs'!D54*'Vehicle Specs'!D55*'Vehicle Specs'!D50*B15^2</f>
        <v>11.274537037037037</v>
      </c>
      <c r="H15" s="10">
        <f t="shared" si="2"/>
        <v>3000.118729123672</v>
      </c>
      <c r="I15" s="10">
        <f t="shared" si="3"/>
        <v>4.3259296474848199</v>
      </c>
      <c r="J15" s="10" t="str">
        <f t="shared" si="4"/>
        <v>Torque</v>
      </c>
      <c r="K15" s="10">
        <f t="shared" si="5"/>
        <v>1.3888888888888884</v>
      </c>
      <c r="L15" s="10">
        <f t="shared" si="6"/>
        <v>0.32079764978605235</v>
      </c>
      <c r="M15" s="10">
        <f t="shared" si="7"/>
        <v>1.2580551380934473</v>
      </c>
    </row>
    <row r="16" spans="1:13" ht="14.4" x14ac:dyDescent="0.3">
      <c r="A16" s="8">
        <v>25</v>
      </c>
      <c r="B16" s="10">
        <f t="shared" si="0"/>
        <v>6.9444444444444446</v>
      </c>
      <c r="C16" s="10">
        <f>C$6*'Vehicle Specs'!D30*'Vehicle Specs'!D31/'Vehicle Specs'!D29</f>
        <v>3113.4447341607092</v>
      </c>
      <c r="D16" s="10">
        <f>C$5*1000*'Vehicle Specs'!D31/B16</f>
        <v>2841.0468774229626</v>
      </c>
      <c r="E16" s="10">
        <f t="shared" si="1"/>
        <v>2841.0468774229626</v>
      </c>
      <c r="F16" s="10">
        <f>'Vehicle Specs'!D32*C$7*'Vehicle Specs'!D33</f>
        <v>102.051468</v>
      </c>
      <c r="G16" s="10">
        <f>0.5*'Vehicle Specs'!D54*'Vehicle Specs'!D55*'Vehicle Specs'!D50*B16^2</f>
        <v>17.616464120370374</v>
      </c>
      <c r="H16" s="10">
        <f t="shared" si="2"/>
        <v>2721.378945302592</v>
      </c>
      <c r="I16" s="10">
        <f t="shared" si="3"/>
        <v>3.9240093224457726</v>
      </c>
      <c r="J16" s="10" t="str">
        <f t="shared" si="4"/>
        <v>Power</v>
      </c>
      <c r="K16" s="10">
        <f t="shared" si="5"/>
        <v>1.3888888888888893</v>
      </c>
      <c r="L16" s="10">
        <f t="shared" si="6"/>
        <v>0.33670282748784358</v>
      </c>
      <c r="M16" s="10">
        <f t="shared" si="7"/>
        <v>1.5947579655812909</v>
      </c>
    </row>
    <row r="17" spans="1:13" ht="14.4" x14ac:dyDescent="0.3">
      <c r="A17" s="8">
        <v>30</v>
      </c>
      <c r="B17" s="10">
        <f t="shared" si="0"/>
        <v>8.3333333333333339</v>
      </c>
      <c r="C17" s="10">
        <f>C$6*'Vehicle Specs'!D30*'Vehicle Specs'!D31/'Vehicle Specs'!D29</f>
        <v>3113.4447341607092</v>
      </c>
      <c r="D17" s="10">
        <f>C$5*1000*'Vehicle Specs'!D31/B17</f>
        <v>2367.5390645191351</v>
      </c>
      <c r="E17" s="10">
        <f t="shared" si="1"/>
        <v>2367.5390645191351</v>
      </c>
      <c r="F17" s="10">
        <f>'Vehicle Specs'!D32*C$7*'Vehicle Specs'!D33</f>
        <v>102.051468</v>
      </c>
      <c r="G17" s="10">
        <f>0.5*'Vehicle Specs'!D54*'Vehicle Specs'!D55*'Vehicle Specs'!D50*B17^2</f>
        <v>25.36770833333334</v>
      </c>
      <c r="H17" s="10">
        <f t="shared" si="2"/>
        <v>2240.1198881858018</v>
      </c>
      <c r="I17" s="10">
        <f t="shared" si="3"/>
        <v>3.2300725115148832</v>
      </c>
      <c r="J17" s="10" t="str">
        <f t="shared" si="4"/>
        <v>Power</v>
      </c>
      <c r="K17" s="10">
        <f t="shared" si="5"/>
        <v>1.3888888888888893</v>
      </c>
      <c r="L17" s="10">
        <f t="shared" si="6"/>
        <v>0.38827872566282068</v>
      </c>
      <c r="M17" s="10">
        <f t="shared" si="7"/>
        <v>1.9830366912441115</v>
      </c>
    </row>
    <row r="18" spans="1:13" ht="14.4" x14ac:dyDescent="0.3">
      <c r="A18" s="8">
        <v>35</v>
      </c>
      <c r="B18" s="10">
        <f t="shared" si="0"/>
        <v>9.7222222222222214</v>
      </c>
      <c r="C18" s="10">
        <f>C$6*'Vehicle Specs'!D30*'Vehicle Specs'!D31/'Vehicle Specs'!D29</f>
        <v>3113.4447341607092</v>
      </c>
      <c r="D18" s="10">
        <f>C$5*1000*'Vehicle Specs'!D31/B18</f>
        <v>2029.319198159259</v>
      </c>
      <c r="E18" s="10">
        <f t="shared" si="1"/>
        <v>2029.319198159259</v>
      </c>
      <c r="F18" s="10">
        <f>'Vehicle Specs'!D32*C$7*'Vehicle Specs'!D33</f>
        <v>102.051468</v>
      </c>
      <c r="G18" s="10">
        <f>0.5*'Vehicle Specs'!D54*'Vehicle Specs'!D55*'Vehicle Specs'!D50*B18^2</f>
        <v>34.528269675925927</v>
      </c>
      <c r="H18" s="10">
        <f t="shared" si="2"/>
        <v>1892.739460483333</v>
      </c>
      <c r="I18" s="10">
        <f t="shared" si="3"/>
        <v>2.7291779047227664</v>
      </c>
      <c r="J18" s="10" t="str">
        <f t="shared" si="4"/>
        <v>Power</v>
      </c>
      <c r="K18" s="10">
        <f t="shared" si="5"/>
        <v>1.3888888888888875</v>
      </c>
      <c r="L18" s="10">
        <f t="shared" si="6"/>
        <v>0.46612872152661017</v>
      </c>
      <c r="M18" s="10">
        <f t="shared" si="7"/>
        <v>2.4491654127707219</v>
      </c>
    </row>
    <row r="19" spans="1:13" ht="14.4" x14ac:dyDescent="0.3">
      <c r="A19" s="8">
        <v>40</v>
      </c>
      <c r="B19" s="10">
        <f t="shared" si="0"/>
        <v>11.111111111111111</v>
      </c>
      <c r="C19" s="10">
        <f>C$6*'Vehicle Specs'!D30*'Vehicle Specs'!D31/'Vehicle Specs'!D29</f>
        <v>3113.4447341607092</v>
      </c>
      <c r="D19" s="10">
        <f>C$5*1000*'Vehicle Specs'!D31/B19</f>
        <v>1775.6542983893517</v>
      </c>
      <c r="E19" s="10">
        <f t="shared" si="1"/>
        <v>1775.6542983893517</v>
      </c>
      <c r="F19" s="10">
        <f>'Vehicle Specs'!D32*C$7*'Vehicle Specs'!D33</f>
        <v>102.051468</v>
      </c>
      <c r="G19" s="10">
        <f>0.5*'Vehicle Specs'!D54*'Vehicle Specs'!D55*'Vehicle Specs'!D50*B19^2</f>
        <v>45.098148148148148</v>
      </c>
      <c r="H19" s="10">
        <f t="shared" si="2"/>
        <v>1628.5046822412037</v>
      </c>
      <c r="I19" s="10">
        <f t="shared" si="3"/>
        <v>2.3481726298321659</v>
      </c>
      <c r="J19" s="10" t="str">
        <f t="shared" si="4"/>
        <v>Power</v>
      </c>
      <c r="K19" s="10">
        <f t="shared" si="5"/>
        <v>1.3888888888888893</v>
      </c>
      <c r="L19" s="10">
        <f t="shared" si="6"/>
        <v>0.54709198407182091</v>
      </c>
      <c r="M19" s="10">
        <f t="shared" si="7"/>
        <v>2.9962573968425428</v>
      </c>
    </row>
    <row r="20" spans="1:13" ht="14.4" x14ac:dyDescent="0.3">
      <c r="A20" s="8">
        <v>45</v>
      </c>
      <c r="B20" s="10">
        <f t="shared" si="0"/>
        <v>12.5</v>
      </c>
      <c r="C20" s="10">
        <f>C$6*'Vehicle Specs'!D30*'Vehicle Specs'!D31/'Vehicle Specs'!D29</f>
        <v>3113.4447341607092</v>
      </c>
      <c r="D20" s="10">
        <f>C$5*1000*'Vehicle Specs'!D31/B20</f>
        <v>1578.3593763460904</v>
      </c>
      <c r="E20" s="10">
        <f t="shared" si="1"/>
        <v>1578.3593763460904</v>
      </c>
      <c r="F20" s="10">
        <f>'Vehicle Specs'!D32*C$7*'Vehicle Specs'!D33</f>
        <v>102.051468</v>
      </c>
      <c r="G20" s="10">
        <f>0.5*'Vehicle Specs'!D54*'Vehicle Specs'!D55*'Vehicle Specs'!D50*B20^2</f>
        <v>57.077343750000004</v>
      </c>
      <c r="H20" s="10">
        <f t="shared" si="2"/>
        <v>1419.2305645960903</v>
      </c>
      <c r="I20" s="10">
        <f t="shared" si="3"/>
        <v>2.0464162022668275</v>
      </c>
      <c r="J20" s="10" t="str">
        <f t="shared" si="4"/>
        <v>Power</v>
      </c>
      <c r="K20" s="10">
        <f t="shared" si="5"/>
        <v>1.3888888888888893</v>
      </c>
      <c r="L20" s="10">
        <f t="shared" si="6"/>
        <v>0.63209048307052318</v>
      </c>
      <c r="M20" s="10">
        <f t="shared" si="7"/>
        <v>3.6283478799130657</v>
      </c>
    </row>
    <row r="21" spans="1:13" ht="14.4" x14ac:dyDescent="0.3">
      <c r="A21" s="8">
        <v>50</v>
      </c>
      <c r="B21" s="10">
        <f t="shared" si="0"/>
        <v>13.888888888888889</v>
      </c>
      <c r="C21" s="10">
        <f>C$6*'Vehicle Specs'!D30*'Vehicle Specs'!D31/'Vehicle Specs'!D29</f>
        <v>3113.4447341607092</v>
      </c>
      <c r="D21" s="10">
        <f>C$5*1000*'Vehicle Specs'!D31/B21</f>
        <v>1420.5234387114813</v>
      </c>
      <c r="E21" s="10">
        <f t="shared" si="1"/>
        <v>1420.5234387114813</v>
      </c>
      <c r="F21" s="10">
        <f>'Vehicle Specs'!D32*C$7*'Vehicle Specs'!D33</f>
        <v>102.051468</v>
      </c>
      <c r="G21" s="10">
        <f>0.5*'Vehicle Specs'!D54*'Vehicle Specs'!D55*'Vehicle Specs'!D50*B21^2</f>
        <v>70.465856481481495</v>
      </c>
      <c r="H21" s="10">
        <f t="shared" si="2"/>
        <v>1248.0061142299999</v>
      </c>
      <c r="I21" s="10">
        <f t="shared" si="3"/>
        <v>1.7995243312810012</v>
      </c>
      <c r="J21" s="10" t="str">
        <f t="shared" si="4"/>
        <v>Power</v>
      </c>
      <c r="K21" s="10">
        <f t="shared" si="5"/>
        <v>1.3888888888888893</v>
      </c>
      <c r="L21" s="10">
        <f t="shared" si="6"/>
        <v>0.72226227981099744</v>
      </c>
      <c r="M21" s="10">
        <f t="shared" si="7"/>
        <v>4.350610159724063</v>
      </c>
    </row>
    <row r="22" spans="1:13" ht="14.4" x14ac:dyDescent="0.3">
      <c r="A22" s="8">
        <v>55</v>
      </c>
      <c r="B22" s="10">
        <f t="shared" si="0"/>
        <v>15.277777777777777</v>
      </c>
      <c r="C22" s="10">
        <f>C$6*'Vehicle Specs'!D30*'Vehicle Specs'!D31/'Vehicle Specs'!D29</f>
        <v>3113.4447341607092</v>
      </c>
      <c r="D22" s="10">
        <f>C$5*1000*'Vehicle Specs'!D31/B22</f>
        <v>1291.3849442831649</v>
      </c>
      <c r="E22" s="10">
        <f t="shared" si="1"/>
        <v>1291.3849442831649</v>
      </c>
      <c r="F22" s="10">
        <f>'Vehicle Specs'!D32*C$7*'Vehicle Specs'!D33</f>
        <v>102.051468</v>
      </c>
      <c r="G22" s="10">
        <f>0.5*'Vehicle Specs'!D54*'Vehicle Specs'!D55*'Vehicle Specs'!D50*B22^2</f>
        <v>85.263686342592592</v>
      </c>
      <c r="H22" s="10">
        <f t="shared" si="2"/>
        <v>1104.0697899405725</v>
      </c>
      <c r="I22" s="10">
        <f t="shared" si="3"/>
        <v>1.5919797409455712</v>
      </c>
      <c r="J22" s="10" t="str">
        <f t="shared" si="4"/>
        <v>Power</v>
      </c>
      <c r="K22" s="10">
        <f t="shared" si="5"/>
        <v>1.3888888888888875</v>
      </c>
      <c r="L22" s="10">
        <f t="shared" si="6"/>
        <v>0.81904008328497235</v>
      </c>
      <c r="M22" s="10">
        <f t="shared" si="7"/>
        <v>5.169650243009035</v>
      </c>
    </row>
    <row r="23" spans="1:13" ht="14.4" x14ac:dyDescent="0.3">
      <c r="A23" s="8">
        <v>60</v>
      </c>
      <c r="B23" s="10">
        <f t="shared" si="0"/>
        <v>16.666666666666668</v>
      </c>
      <c r="C23" s="10">
        <f>C$6*'Vehicle Specs'!D30*'Vehicle Specs'!D31/'Vehicle Specs'!D29</f>
        <v>3113.4447341607092</v>
      </c>
      <c r="D23" s="10">
        <f>C$5*1000*'Vehicle Specs'!D31/B23</f>
        <v>1183.7695322595675</v>
      </c>
      <c r="E23" s="10">
        <f t="shared" si="1"/>
        <v>1183.7695322595675</v>
      </c>
      <c r="F23" s="10">
        <f>'Vehicle Specs'!D32*C$7*'Vehicle Specs'!D33</f>
        <v>102.051468</v>
      </c>
      <c r="G23" s="10">
        <f>0.5*'Vehicle Specs'!D54*'Vehicle Specs'!D55*'Vehicle Specs'!D50*B23^2</f>
        <v>101.47083333333336</v>
      </c>
      <c r="H23" s="10">
        <f t="shared" si="2"/>
        <v>980.24723092623435</v>
      </c>
      <c r="I23" s="10">
        <f t="shared" si="3"/>
        <v>1.413437580641127</v>
      </c>
      <c r="J23" s="10" t="str">
        <f t="shared" si="4"/>
        <v>Power</v>
      </c>
      <c r="K23" s="10">
        <f t="shared" si="5"/>
        <v>1.3888888888888911</v>
      </c>
      <c r="L23" s="10">
        <f t="shared" si="6"/>
        <v>0.92425692692529815</v>
      </c>
      <c r="M23" s="10">
        <f t="shared" si="7"/>
        <v>6.093907169934333</v>
      </c>
    </row>
    <row r="24" spans="1:13" ht="14.4" x14ac:dyDescent="0.3">
      <c r="A24" s="8">
        <v>65</v>
      </c>
      <c r="B24" s="10">
        <f t="shared" si="0"/>
        <v>18.055555555555554</v>
      </c>
      <c r="C24" s="10">
        <f>C$6*'Vehicle Specs'!D30*'Vehicle Specs'!D31/'Vehicle Specs'!D29</f>
        <v>3113.4447341607092</v>
      </c>
      <c r="D24" s="10">
        <f>C$5*1000*'Vehicle Specs'!D31/B24</f>
        <v>1092.7103374703704</v>
      </c>
      <c r="E24" s="10">
        <f t="shared" si="1"/>
        <v>1092.7103374703704</v>
      </c>
      <c r="F24" s="10">
        <f>'Vehicle Specs'!D32*C$7*'Vehicle Specs'!D33</f>
        <v>102.051468</v>
      </c>
      <c r="G24" s="10">
        <f>0.5*'Vehicle Specs'!D54*'Vehicle Specs'!D55*'Vehicle Specs'!D50*B24^2</f>
        <v>119.08729745370368</v>
      </c>
      <c r="H24" s="10">
        <f t="shared" si="2"/>
        <v>871.57157201666678</v>
      </c>
      <c r="I24" s="10">
        <f t="shared" si="3"/>
        <v>1.2567360307080788</v>
      </c>
      <c r="J24" s="10" t="str">
        <f t="shared" si="4"/>
        <v>Power</v>
      </c>
      <c r="K24" s="10">
        <f t="shared" si="5"/>
        <v>1.3888888888888857</v>
      </c>
      <c r="L24" s="10">
        <f t="shared" si="6"/>
        <v>1.0402985655955885</v>
      </c>
      <c r="M24" s="10">
        <f t="shared" si="7"/>
        <v>7.1342057355299211</v>
      </c>
    </row>
    <row r="25" spans="1:13" ht="14.4" x14ac:dyDescent="0.3">
      <c r="A25" s="8">
        <v>70</v>
      </c>
      <c r="B25" s="10">
        <f t="shared" si="0"/>
        <v>19.444444444444443</v>
      </c>
      <c r="C25" s="10">
        <f>C$6*'Vehicle Specs'!D30*'Vehicle Specs'!D31/'Vehicle Specs'!D29</f>
        <v>3113.4447341607092</v>
      </c>
      <c r="D25" s="10">
        <f>C$5*1000*'Vehicle Specs'!D31/B25</f>
        <v>1014.6595990796295</v>
      </c>
      <c r="E25" s="10">
        <f t="shared" si="1"/>
        <v>1014.6595990796295</v>
      </c>
      <c r="F25" s="10">
        <f>'Vehicle Specs'!D32*C$7*'Vehicle Specs'!D33</f>
        <v>102.051468</v>
      </c>
      <c r="G25" s="10">
        <f>0.5*'Vehicle Specs'!D54*'Vehicle Specs'!D55*'Vehicle Specs'!D50*B25^2</f>
        <v>138.11307870370371</v>
      </c>
      <c r="H25" s="10">
        <f t="shared" si="2"/>
        <v>774.49505237592575</v>
      </c>
      <c r="I25" s="10">
        <f t="shared" si="3"/>
        <v>1.1167595056752881</v>
      </c>
      <c r="J25" s="10" t="str">
        <f t="shared" si="4"/>
        <v>Power</v>
      </c>
      <c r="K25" s="10">
        <f t="shared" si="5"/>
        <v>1.3888888888888893</v>
      </c>
      <c r="L25" s="10">
        <f t="shared" si="6"/>
        <v>1.1703319998698796</v>
      </c>
      <c r="M25" s="10">
        <f t="shared" si="7"/>
        <v>8.3045377353998013</v>
      </c>
    </row>
    <row r="27" spans="1:13" ht="15.6" x14ac:dyDescent="0.3">
      <c r="A27" s="2" t="s">
        <v>447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8.2" x14ac:dyDescent="0.3">
      <c r="A28" s="4" t="s">
        <v>448</v>
      </c>
      <c r="B28" s="4"/>
      <c r="C28" s="4" t="s">
        <v>449</v>
      </c>
      <c r="D28" s="4"/>
      <c r="E28" s="4" t="s">
        <v>450</v>
      </c>
      <c r="F28" s="4"/>
      <c r="G28" s="4"/>
      <c r="H28" s="4"/>
      <c r="I28" s="4"/>
      <c r="J28" s="4"/>
      <c r="K28" s="4"/>
      <c r="L28" s="4"/>
      <c r="M28" s="4" t="s">
        <v>7</v>
      </c>
    </row>
    <row r="29" spans="1:13" ht="52.8" x14ac:dyDescent="0.3">
      <c r="A29" s="5" t="s">
        <v>451</v>
      </c>
      <c r="B29" s="5"/>
      <c r="C29" s="14">
        <f>M15</f>
        <v>1.2580551380934473</v>
      </c>
      <c r="D29" s="5"/>
      <c r="E29" s="5" t="s">
        <v>450</v>
      </c>
      <c r="F29" s="5"/>
      <c r="G29" s="5"/>
      <c r="H29" s="5"/>
      <c r="I29" s="5"/>
      <c r="J29" s="5"/>
      <c r="K29" s="5"/>
      <c r="L29" s="5"/>
      <c r="M29" s="11" t="s">
        <v>452</v>
      </c>
    </row>
    <row r="30" spans="1:13" ht="52.8" x14ac:dyDescent="0.3">
      <c r="A30" s="5" t="s">
        <v>453</v>
      </c>
      <c r="B30" s="5"/>
      <c r="C30" s="14">
        <f>M17</f>
        <v>1.9830366912441115</v>
      </c>
      <c r="D30" s="5"/>
      <c r="E30" s="5" t="s">
        <v>450</v>
      </c>
      <c r="F30" s="5"/>
      <c r="G30" s="5"/>
      <c r="H30" s="5"/>
      <c r="I30" s="5"/>
      <c r="J30" s="5"/>
      <c r="K30" s="5"/>
      <c r="L30" s="5"/>
      <c r="M30" s="11" t="s">
        <v>454</v>
      </c>
    </row>
    <row r="31" spans="1:13" ht="52.8" x14ac:dyDescent="0.3">
      <c r="A31" s="5" t="s">
        <v>455</v>
      </c>
      <c r="B31" s="5"/>
      <c r="C31" s="14">
        <f>M19</f>
        <v>2.9962573968425428</v>
      </c>
      <c r="D31" s="5"/>
      <c r="E31" s="5" t="s">
        <v>450</v>
      </c>
      <c r="F31" s="5"/>
      <c r="G31" s="5"/>
      <c r="H31" s="5"/>
      <c r="I31" s="5"/>
      <c r="J31" s="5"/>
      <c r="K31" s="5"/>
      <c r="L31" s="5"/>
      <c r="M31" s="11" t="s">
        <v>456</v>
      </c>
    </row>
    <row r="32" spans="1:13" ht="52.8" x14ac:dyDescent="0.3">
      <c r="A32" s="5" t="s">
        <v>457</v>
      </c>
      <c r="B32" s="5"/>
      <c r="C32" s="14">
        <f>M21</f>
        <v>4.350610159724063</v>
      </c>
      <c r="D32" s="5"/>
      <c r="E32" s="5" t="s">
        <v>450</v>
      </c>
      <c r="F32" s="5"/>
      <c r="G32" s="5"/>
      <c r="H32" s="5"/>
      <c r="I32" s="5"/>
      <c r="J32" s="5"/>
      <c r="K32" s="5"/>
      <c r="L32" s="5"/>
      <c r="M32" s="11" t="s">
        <v>458</v>
      </c>
    </row>
    <row r="33" spans="1:13" ht="52.8" x14ac:dyDescent="0.3">
      <c r="A33" s="5" t="s">
        <v>459</v>
      </c>
      <c r="B33" s="5"/>
      <c r="C33" s="14">
        <f>M23</f>
        <v>6.093907169934333</v>
      </c>
      <c r="D33" s="5"/>
      <c r="E33" s="5" t="s">
        <v>450</v>
      </c>
      <c r="F33" s="5"/>
      <c r="G33" s="5"/>
      <c r="H33" s="5"/>
      <c r="I33" s="5"/>
      <c r="J33" s="5"/>
      <c r="K33" s="5"/>
      <c r="L33" s="5"/>
      <c r="M33" s="11" t="s">
        <v>460</v>
      </c>
    </row>
    <row r="34" spans="1:13" ht="52.8" x14ac:dyDescent="0.3">
      <c r="A34" s="5" t="s">
        <v>461</v>
      </c>
      <c r="B34" s="5"/>
      <c r="C34" s="14">
        <f>M25</f>
        <v>8.3045377353998013</v>
      </c>
      <c r="D34" s="5"/>
      <c r="E34" s="5" t="s">
        <v>450</v>
      </c>
      <c r="F34" s="5"/>
      <c r="G34" s="5"/>
      <c r="H34" s="5"/>
      <c r="I34" s="5"/>
      <c r="J34" s="5"/>
      <c r="K34" s="5"/>
      <c r="L34" s="5"/>
      <c r="M34" s="11" t="s">
        <v>462</v>
      </c>
    </row>
    <row r="36" spans="1:13" ht="66" x14ac:dyDescent="0.3">
      <c r="A36" s="5" t="s">
        <v>463</v>
      </c>
      <c r="B36" s="5"/>
      <c r="C36" s="14">
        <f>LOOKUP(2,1/(H11:H25&gt;0),A11:A25)</f>
        <v>70</v>
      </c>
      <c r="D36" s="5"/>
      <c r="E36" s="5" t="s">
        <v>18</v>
      </c>
      <c r="F36" s="5"/>
      <c r="G36" s="5"/>
      <c r="H36" s="5"/>
      <c r="I36" s="5"/>
      <c r="J36" s="5"/>
      <c r="K36" s="5"/>
      <c r="L36" s="5"/>
      <c r="M36" s="11" t="s">
        <v>464</v>
      </c>
    </row>
  </sheetData>
  <mergeCells count="4">
    <mergeCell ref="A1:M1"/>
    <mergeCell ref="A3:M3"/>
    <mergeCell ref="A9:M9"/>
    <mergeCell ref="A27:M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I61"/>
  <sheetViews>
    <sheetView tabSelected="1" topLeftCell="A43" zoomScaleNormal="100" workbookViewId="0">
      <selection activeCell="I60" sqref="I60"/>
    </sheetView>
  </sheetViews>
  <sheetFormatPr defaultColWidth="8.6640625" defaultRowHeight="15" customHeight="1" x14ac:dyDescent="0.3"/>
  <cols>
    <col min="1" max="1" width="38" customWidth="1"/>
    <col min="2" max="2" width="8" customWidth="1"/>
    <col min="3" max="6" width="14" customWidth="1"/>
    <col min="7" max="7" width="16" customWidth="1"/>
    <col min="8" max="8" width="14" customWidth="1"/>
    <col min="9" max="9" width="48" customWidth="1"/>
  </cols>
  <sheetData>
    <row r="1" spans="1:9" ht="14.4" x14ac:dyDescent="0.3">
      <c r="A1" s="3" t="s">
        <v>465</v>
      </c>
      <c r="B1" s="3"/>
      <c r="C1" s="3"/>
      <c r="D1" s="3"/>
      <c r="E1" s="3"/>
      <c r="F1" s="3"/>
      <c r="G1" s="3"/>
      <c r="H1" s="3"/>
      <c r="I1" s="3"/>
    </row>
    <row r="3" spans="1:9" ht="15.6" x14ac:dyDescent="0.3">
      <c r="A3" s="2" t="s">
        <v>430</v>
      </c>
      <c r="B3" s="2"/>
      <c r="C3" s="2"/>
      <c r="D3" s="2"/>
      <c r="E3" s="2"/>
      <c r="F3" s="2"/>
      <c r="G3" s="2"/>
      <c r="H3" s="2"/>
      <c r="I3" s="2"/>
    </row>
    <row r="4" spans="1:9" ht="14.4" x14ac:dyDescent="0.3">
      <c r="A4" s="4" t="s">
        <v>2</v>
      </c>
      <c r="B4" s="4" t="s">
        <v>4</v>
      </c>
      <c r="C4" s="4" t="s">
        <v>5</v>
      </c>
      <c r="D4" s="4"/>
      <c r="E4" s="4"/>
      <c r="F4" s="4"/>
      <c r="G4" s="4"/>
      <c r="H4" s="4"/>
      <c r="I4" s="4" t="s">
        <v>7</v>
      </c>
    </row>
    <row r="5" spans="1:9" ht="14.4" x14ac:dyDescent="0.3">
      <c r="A5" s="5" t="s">
        <v>431</v>
      </c>
      <c r="B5" s="5" t="s">
        <v>210</v>
      </c>
      <c r="C5" s="12">
        <f>'Powertrain Summary'!E26</f>
        <v>22.419877504916055</v>
      </c>
      <c r="D5" s="5"/>
      <c r="E5" s="5"/>
      <c r="F5" s="5"/>
      <c r="G5" s="5"/>
      <c r="H5" s="5"/>
      <c r="I5" s="11" t="s">
        <v>466</v>
      </c>
    </row>
    <row r="6" spans="1:9" ht="14.4" x14ac:dyDescent="0.3">
      <c r="A6" s="5" t="s">
        <v>433</v>
      </c>
      <c r="B6" s="5" t="s">
        <v>195</v>
      </c>
      <c r="C6" s="12">
        <f>'Powertrain Summary'!E28</f>
        <v>85.501796676761899</v>
      </c>
      <c r="D6" s="5"/>
      <c r="E6" s="5"/>
      <c r="F6" s="5"/>
      <c r="G6" s="5"/>
      <c r="H6" s="5"/>
      <c r="I6" s="11" t="s">
        <v>467</v>
      </c>
    </row>
    <row r="7" spans="1:9" ht="14.4" x14ac:dyDescent="0.3">
      <c r="A7" s="5" t="s">
        <v>468</v>
      </c>
      <c r="B7" s="5" t="s">
        <v>14</v>
      </c>
      <c r="C7" s="12">
        <f>'Vehicle Specs'!D17</f>
        <v>843.52</v>
      </c>
      <c r="D7" s="5"/>
      <c r="E7" s="5"/>
      <c r="F7" s="5"/>
      <c r="G7" s="5"/>
      <c r="H7" s="5"/>
      <c r="I7" s="11" t="s">
        <v>46</v>
      </c>
    </row>
    <row r="8" spans="1:9" ht="14.4" x14ac:dyDescent="0.3">
      <c r="A8" s="5" t="s">
        <v>154</v>
      </c>
      <c r="B8" s="5" t="s">
        <v>71</v>
      </c>
      <c r="C8" s="12">
        <f>'Vehicle Specs'!D29</f>
        <v>0.28999999999999998</v>
      </c>
      <c r="D8" s="5"/>
      <c r="E8" s="5"/>
      <c r="F8" s="5"/>
      <c r="G8" s="5"/>
      <c r="H8" s="5"/>
      <c r="I8" s="11" t="s">
        <v>552</v>
      </c>
    </row>
    <row r="9" spans="1:9" ht="14.4" x14ac:dyDescent="0.3">
      <c r="A9" s="5" t="s">
        <v>155</v>
      </c>
      <c r="B9" s="5" t="s">
        <v>74</v>
      </c>
      <c r="C9" s="12">
        <f>'Vehicle Specs'!D30</f>
        <v>12</v>
      </c>
      <c r="D9" s="5"/>
      <c r="E9" s="5"/>
      <c r="F9" s="5"/>
      <c r="G9" s="5"/>
      <c r="H9" s="5"/>
      <c r="I9" s="11" t="s">
        <v>156</v>
      </c>
    </row>
    <row r="10" spans="1:9" ht="14.4" x14ac:dyDescent="0.3">
      <c r="A10" s="5" t="s">
        <v>76</v>
      </c>
      <c r="B10" s="5"/>
      <c r="C10" s="12">
        <f>'Vehicle Specs'!D31</f>
        <v>0.88</v>
      </c>
      <c r="D10" s="5"/>
      <c r="E10" s="5"/>
      <c r="F10" s="5"/>
      <c r="G10" s="5"/>
      <c r="H10" s="5"/>
      <c r="I10" s="11" t="s">
        <v>157</v>
      </c>
    </row>
    <row r="11" spans="1:9" ht="14.4" x14ac:dyDescent="0.3">
      <c r="A11" s="5" t="s">
        <v>158</v>
      </c>
      <c r="B11" s="5"/>
      <c r="C11" s="12">
        <f>'Vehicle Specs'!D32</f>
        <v>1.4999999999999999E-2</v>
      </c>
      <c r="D11" s="5"/>
      <c r="E11" s="5"/>
      <c r="F11" s="5"/>
      <c r="G11" s="5"/>
      <c r="H11" s="5"/>
      <c r="I11" s="11" t="s">
        <v>555</v>
      </c>
    </row>
    <row r="12" spans="1:9" ht="14.4" x14ac:dyDescent="0.3">
      <c r="A12" s="5" t="s">
        <v>81</v>
      </c>
      <c r="B12" s="5" t="s">
        <v>83</v>
      </c>
      <c r="C12" s="12">
        <f>'Vehicle Specs'!D33</f>
        <v>9.81</v>
      </c>
      <c r="D12" s="5"/>
      <c r="E12" s="5"/>
      <c r="F12" s="5"/>
      <c r="G12" s="5"/>
      <c r="H12" s="5"/>
      <c r="I12" s="11" t="s">
        <v>159</v>
      </c>
    </row>
    <row r="13" spans="1:9" ht="14.4" x14ac:dyDescent="0.3">
      <c r="A13" s="5" t="s">
        <v>469</v>
      </c>
      <c r="B13" s="5" t="s">
        <v>162</v>
      </c>
      <c r="C13" s="12">
        <f>'Vehicle Specs'!D37</f>
        <v>15</v>
      </c>
      <c r="D13" s="5"/>
      <c r="E13" s="5"/>
      <c r="F13" s="5"/>
      <c r="G13" s="5"/>
      <c r="H13" s="5"/>
      <c r="I13" s="11" t="s">
        <v>470</v>
      </c>
    </row>
    <row r="14" spans="1:9" ht="14.4" x14ac:dyDescent="0.3">
      <c r="A14" s="5" t="s">
        <v>471</v>
      </c>
      <c r="B14" s="5" t="s">
        <v>18</v>
      </c>
      <c r="C14" s="12">
        <f>'Vehicle Specs'!D38</f>
        <v>5</v>
      </c>
      <c r="D14" s="5"/>
      <c r="E14" s="5"/>
      <c r="F14" s="5"/>
      <c r="G14" s="5"/>
      <c r="H14" s="5"/>
      <c r="I14" s="11" t="s">
        <v>166</v>
      </c>
    </row>
    <row r="15" spans="1:9" ht="14.4" x14ac:dyDescent="0.3">
      <c r="A15" s="5" t="s">
        <v>100</v>
      </c>
      <c r="B15" s="5" t="s">
        <v>83</v>
      </c>
      <c r="C15" s="12">
        <f>'Vehicle Specs'!D41</f>
        <v>0.5</v>
      </c>
      <c r="D15" s="5"/>
      <c r="E15" s="5"/>
      <c r="F15" s="5"/>
      <c r="G15" s="5"/>
      <c r="H15" s="5"/>
      <c r="I15" s="11" t="s">
        <v>472</v>
      </c>
    </row>
    <row r="16" spans="1:9" ht="14.4" x14ac:dyDescent="0.3">
      <c r="A16" s="5" t="s">
        <v>103</v>
      </c>
      <c r="B16" s="5"/>
      <c r="C16" s="12">
        <f>'Vehicle Specs'!D42</f>
        <v>1.2</v>
      </c>
      <c r="D16" s="5"/>
      <c r="E16" s="5"/>
      <c r="F16" s="5"/>
      <c r="G16" s="5"/>
      <c r="H16" s="5"/>
      <c r="I16" s="11" t="s">
        <v>473</v>
      </c>
    </row>
    <row r="18" spans="1:9" ht="15.6" x14ac:dyDescent="0.3">
      <c r="A18" s="2" t="s">
        <v>474</v>
      </c>
      <c r="B18" s="2"/>
      <c r="C18" s="2"/>
      <c r="D18" s="2"/>
      <c r="E18" s="2"/>
      <c r="F18" s="2"/>
      <c r="G18" s="2"/>
      <c r="H18" s="2"/>
      <c r="I18" s="2"/>
    </row>
    <row r="19" spans="1:9" ht="28.2" x14ac:dyDescent="0.3">
      <c r="A19" s="4" t="s">
        <v>2</v>
      </c>
      <c r="B19" s="4" t="s">
        <v>3</v>
      </c>
      <c r="C19" s="4" t="s">
        <v>4</v>
      </c>
      <c r="D19" s="4" t="s">
        <v>5</v>
      </c>
      <c r="E19" s="4" t="s">
        <v>350</v>
      </c>
      <c r="F19" s="4"/>
      <c r="G19" s="4"/>
      <c r="H19" s="4"/>
      <c r="I19" s="4" t="s">
        <v>7</v>
      </c>
    </row>
    <row r="20" spans="1:9" ht="27.6" x14ac:dyDescent="0.3">
      <c r="A20" s="5" t="s">
        <v>475</v>
      </c>
      <c r="B20" s="5" t="s">
        <v>476</v>
      </c>
      <c r="C20" s="5" t="s">
        <v>181</v>
      </c>
      <c r="D20" s="7">
        <f>C6*C9*C10/C8</f>
        <v>3113.4447341607092</v>
      </c>
      <c r="E20" s="5" t="s">
        <v>477</v>
      </c>
      <c r="F20" s="5"/>
      <c r="G20" s="5"/>
      <c r="H20" s="5"/>
      <c r="I20" s="11" t="s">
        <v>478</v>
      </c>
    </row>
    <row r="21" spans="1:9" ht="14.4" x14ac:dyDescent="0.3">
      <c r="A21" s="5" t="s">
        <v>479</v>
      </c>
      <c r="B21" s="5" t="s">
        <v>165</v>
      </c>
      <c r="C21" s="5" t="s">
        <v>191</v>
      </c>
      <c r="D21" s="7">
        <f>C14/3.6</f>
        <v>1.3888888888888888</v>
      </c>
      <c r="E21" s="5"/>
      <c r="F21" s="5"/>
      <c r="G21" s="5"/>
      <c r="H21" s="5"/>
      <c r="I21" s="11" t="s">
        <v>480</v>
      </c>
    </row>
    <row r="22" spans="1:9" ht="27.6" x14ac:dyDescent="0.3">
      <c r="A22" s="5" t="s">
        <v>481</v>
      </c>
      <c r="B22" s="5" t="s">
        <v>482</v>
      </c>
      <c r="C22" s="5" t="s">
        <v>181</v>
      </c>
      <c r="D22" s="7">
        <f>C5*1000*C10/D21</f>
        <v>14205.234387114813</v>
      </c>
      <c r="E22" s="5" t="s">
        <v>483</v>
      </c>
      <c r="F22" s="5"/>
      <c r="G22" s="5"/>
      <c r="H22" s="5"/>
      <c r="I22" s="11" t="s">
        <v>484</v>
      </c>
    </row>
    <row r="23" spans="1:9" ht="27.6" x14ac:dyDescent="0.3">
      <c r="A23" s="5" t="s">
        <v>485</v>
      </c>
      <c r="B23" s="5" t="s">
        <v>486</v>
      </c>
      <c r="C23" s="5" t="s">
        <v>181</v>
      </c>
      <c r="D23" s="7">
        <f>MIN(D20,D22)</f>
        <v>3113.4447341607092</v>
      </c>
      <c r="E23" s="5" t="s">
        <v>487</v>
      </c>
      <c r="F23" s="5"/>
      <c r="G23" s="5"/>
      <c r="H23" s="5"/>
      <c r="I23" s="11" t="s">
        <v>488</v>
      </c>
    </row>
    <row r="25" spans="1:9" ht="15.6" x14ac:dyDescent="0.3">
      <c r="A25" s="2" t="s">
        <v>489</v>
      </c>
      <c r="B25" s="2"/>
      <c r="C25" s="2"/>
      <c r="D25" s="2"/>
      <c r="E25" s="2"/>
      <c r="F25" s="2"/>
      <c r="G25" s="2"/>
      <c r="H25" s="2"/>
      <c r="I25" s="2"/>
    </row>
    <row r="26" spans="1:9" ht="28.2" x14ac:dyDescent="0.3">
      <c r="A26" s="4" t="s">
        <v>2</v>
      </c>
      <c r="B26" s="4" t="s">
        <v>3</v>
      </c>
      <c r="C26" s="4" t="s">
        <v>4</v>
      </c>
      <c r="D26" s="4" t="s">
        <v>5</v>
      </c>
      <c r="E26" s="4" t="s">
        <v>350</v>
      </c>
      <c r="F26" s="4"/>
      <c r="G26" s="4"/>
      <c r="H26" s="4"/>
      <c r="I26" s="4" t="s">
        <v>7</v>
      </c>
    </row>
    <row r="27" spans="1:9" ht="14.4" x14ac:dyDescent="0.3">
      <c r="A27" s="5" t="s">
        <v>160</v>
      </c>
      <c r="B27" s="5" t="s">
        <v>490</v>
      </c>
      <c r="C27" s="5" t="s">
        <v>173</v>
      </c>
      <c r="D27" s="7">
        <f>RADIANS(C13)</f>
        <v>0.26179938779914941</v>
      </c>
      <c r="E27" s="5"/>
      <c r="F27" s="5"/>
      <c r="G27" s="5"/>
      <c r="H27" s="5"/>
      <c r="I27" s="11" t="s">
        <v>491</v>
      </c>
    </row>
    <row r="28" spans="1:9" ht="27.6" x14ac:dyDescent="0.3">
      <c r="A28" s="5" t="s">
        <v>179</v>
      </c>
      <c r="B28" s="5" t="s">
        <v>180</v>
      </c>
      <c r="C28" s="5" t="s">
        <v>181</v>
      </c>
      <c r="D28" s="7">
        <f>C7*C12*SIN(D27)</f>
        <v>2141.7097914730562</v>
      </c>
      <c r="E28" s="5" t="s">
        <v>492</v>
      </c>
      <c r="F28" s="5"/>
      <c r="G28" s="5"/>
      <c r="H28" s="5"/>
      <c r="I28" s="11" t="s">
        <v>493</v>
      </c>
    </row>
    <row r="29" spans="1:9" ht="27.6" x14ac:dyDescent="0.3">
      <c r="A29" s="5" t="s">
        <v>158</v>
      </c>
      <c r="B29" s="5" t="s">
        <v>184</v>
      </c>
      <c r="C29" s="5" t="s">
        <v>181</v>
      </c>
      <c r="D29" s="7">
        <f>C11*C7*C12*COS(D27)</f>
        <v>119.89454635267788</v>
      </c>
      <c r="E29" s="5" t="s">
        <v>494</v>
      </c>
      <c r="F29" s="5"/>
      <c r="G29" s="5"/>
      <c r="H29" s="5"/>
      <c r="I29" s="11" t="s">
        <v>495</v>
      </c>
    </row>
    <row r="30" spans="1:9" ht="14.4" x14ac:dyDescent="0.3">
      <c r="A30" s="5" t="s">
        <v>496</v>
      </c>
      <c r="B30" s="5" t="s">
        <v>497</v>
      </c>
      <c r="C30" s="5" t="s">
        <v>181</v>
      </c>
      <c r="D30" s="7">
        <f>D28+D29</f>
        <v>2261.6043378257341</v>
      </c>
      <c r="E30" s="5" t="s">
        <v>498</v>
      </c>
      <c r="F30" s="5"/>
      <c r="G30" s="5"/>
      <c r="H30" s="5"/>
      <c r="I30" s="11" t="s">
        <v>499</v>
      </c>
    </row>
    <row r="31" spans="1:9" ht="27.6" x14ac:dyDescent="0.3">
      <c r="A31" s="5" t="s">
        <v>500</v>
      </c>
      <c r="B31" s="5" t="s">
        <v>501</v>
      </c>
      <c r="C31" s="5" t="s">
        <v>181</v>
      </c>
      <c r="D31" s="14">
        <f>D23-D30</f>
        <v>851.84039633497514</v>
      </c>
      <c r="E31" s="5" t="s">
        <v>502</v>
      </c>
      <c r="F31" s="5"/>
      <c r="G31" s="5"/>
      <c r="H31" s="5"/>
      <c r="I31" s="11" t="s">
        <v>503</v>
      </c>
    </row>
    <row r="32" spans="1:9" ht="27.6" x14ac:dyDescent="0.3">
      <c r="A32" s="5" t="s">
        <v>504</v>
      </c>
      <c r="B32" s="5"/>
      <c r="C32" s="5" t="s">
        <v>107</v>
      </c>
      <c r="D32" s="14">
        <f>D31/D30*100</f>
        <v>37.665314930989183</v>
      </c>
      <c r="E32" s="5" t="s">
        <v>505</v>
      </c>
      <c r="F32" s="5"/>
      <c r="G32" s="5"/>
      <c r="H32" s="5"/>
      <c r="I32" s="11" t="s">
        <v>506</v>
      </c>
    </row>
    <row r="33" spans="1:9" ht="41.4" x14ac:dyDescent="0.3">
      <c r="A33" s="5" t="s">
        <v>507</v>
      </c>
      <c r="B33" s="5"/>
      <c r="C33" s="5"/>
      <c r="D33" s="14" t="str">
        <f>IF(D31&gt;0,"PASS - Motor can climb design grade","FAIL - Insufficient torque")</f>
        <v>PASS - Motor can climb design grade</v>
      </c>
      <c r="E33" s="5"/>
      <c r="F33" s="5"/>
      <c r="G33" s="5"/>
      <c r="H33" s="5"/>
      <c r="I33" s="11" t="s">
        <v>508</v>
      </c>
    </row>
    <row r="35" spans="1:9" ht="15.6" x14ac:dyDescent="0.3">
      <c r="A35" s="2" t="s">
        <v>509</v>
      </c>
      <c r="B35" s="2"/>
      <c r="C35" s="2"/>
      <c r="D35" s="2"/>
      <c r="E35" s="2"/>
      <c r="F35" s="2"/>
      <c r="G35" s="2"/>
      <c r="H35" s="2"/>
      <c r="I35" s="2"/>
    </row>
    <row r="36" spans="1:9" ht="28.2" x14ac:dyDescent="0.3">
      <c r="A36" s="4" t="s">
        <v>2</v>
      </c>
      <c r="B36" s="4" t="s">
        <v>3</v>
      </c>
      <c r="C36" s="4" t="s">
        <v>4</v>
      </c>
      <c r="D36" s="4" t="s">
        <v>5</v>
      </c>
      <c r="E36" s="4" t="s">
        <v>350</v>
      </c>
      <c r="F36" s="4"/>
      <c r="G36" s="4"/>
      <c r="H36" s="4"/>
      <c r="I36" s="4" t="s">
        <v>7</v>
      </c>
    </row>
    <row r="37" spans="1:9" ht="14.4" x14ac:dyDescent="0.3">
      <c r="A37" s="5" t="s">
        <v>510</v>
      </c>
      <c r="B37" s="5" t="s">
        <v>221</v>
      </c>
      <c r="C37" s="5" t="s">
        <v>181</v>
      </c>
      <c r="D37" s="7">
        <f>D29*C16</f>
        <v>143.87345562321346</v>
      </c>
      <c r="E37" s="5" t="s">
        <v>511</v>
      </c>
      <c r="F37" s="5"/>
      <c r="G37" s="5"/>
      <c r="H37" s="5"/>
      <c r="I37" s="11" t="s">
        <v>223</v>
      </c>
    </row>
    <row r="38" spans="1:9" ht="14.4" x14ac:dyDescent="0.3">
      <c r="A38" s="5" t="s">
        <v>224</v>
      </c>
      <c r="B38" s="5" t="s">
        <v>225</v>
      </c>
      <c r="C38" s="5" t="s">
        <v>181</v>
      </c>
      <c r="D38" s="7">
        <f>C7*C15</f>
        <v>421.76</v>
      </c>
      <c r="E38" s="5" t="s">
        <v>512</v>
      </c>
      <c r="F38" s="5"/>
      <c r="G38" s="5"/>
      <c r="H38" s="5"/>
      <c r="I38" s="11" t="s">
        <v>513</v>
      </c>
    </row>
    <row r="39" spans="1:9" ht="27.6" x14ac:dyDescent="0.3">
      <c r="A39" s="5" t="s">
        <v>514</v>
      </c>
      <c r="B39" s="5" t="s">
        <v>515</v>
      </c>
      <c r="C39" s="5" t="s">
        <v>181</v>
      </c>
      <c r="D39" s="7">
        <f>D28+D37+D38</f>
        <v>2707.3432470962698</v>
      </c>
      <c r="E39" s="5" t="s">
        <v>516</v>
      </c>
      <c r="F39" s="5"/>
      <c r="G39" s="5"/>
      <c r="H39" s="5"/>
      <c r="I39" s="11" t="s">
        <v>231</v>
      </c>
    </row>
    <row r="40" spans="1:9" ht="27.6" x14ac:dyDescent="0.3">
      <c r="A40" s="5" t="s">
        <v>517</v>
      </c>
      <c r="B40" s="5"/>
      <c r="C40" s="5" t="s">
        <v>181</v>
      </c>
      <c r="D40" s="14">
        <f>D20-D39</f>
        <v>406.10148706443943</v>
      </c>
      <c r="E40" s="5" t="s">
        <v>518</v>
      </c>
      <c r="F40" s="5"/>
      <c r="G40" s="5"/>
      <c r="H40" s="5"/>
      <c r="I40" s="11" t="s">
        <v>519</v>
      </c>
    </row>
    <row r="41" spans="1:9" ht="27.6" x14ac:dyDescent="0.3">
      <c r="A41" s="5" t="s">
        <v>520</v>
      </c>
      <c r="B41" s="5"/>
      <c r="C41" s="5" t="s">
        <v>107</v>
      </c>
      <c r="D41" s="14">
        <f>D40/D39*100</f>
        <v>14.999999999999961</v>
      </c>
      <c r="E41" s="5" t="s">
        <v>505</v>
      </c>
      <c r="F41" s="5"/>
      <c r="G41" s="5"/>
      <c r="H41" s="5"/>
      <c r="I41" s="11" t="s">
        <v>521</v>
      </c>
    </row>
    <row r="42" spans="1:9" ht="41.4" x14ac:dyDescent="0.3">
      <c r="A42" s="5" t="s">
        <v>522</v>
      </c>
      <c r="B42" s="5"/>
      <c r="C42" s="5"/>
      <c r="D42" s="14" t="str">
        <f>IF(D40&gt;0,"PASS - Motor can start on design grade","FAIL - Insufficient peak torque")</f>
        <v>PASS - Motor can start on design grade</v>
      </c>
      <c r="E42" s="5"/>
      <c r="F42" s="5"/>
      <c r="G42" s="5"/>
      <c r="H42" s="5"/>
      <c r="I42" s="11" t="s">
        <v>523</v>
      </c>
    </row>
    <row r="44" spans="1:9" ht="15.6" x14ac:dyDescent="0.3">
      <c r="A44" s="2" t="s">
        <v>524</v>
      </c>
      <c r="B44" s="2"/>
      <c r="C44" s="2"/>
      <c r="D44" s="2"/>
      <c r="E44" s="2"/>
      <c r="F44" s="2"/>
      <c r="G44" s="2"/>
      <c r="H44" s="2"/>
      <c r="I44" s="2"/>
    </row>
    <row r="45" spans="1:9" ht="28.2" x14ac:dyDescent="0.3">
      <c r="A45" s="4" t="s">
        <v>2</v>
      </c>
      <c r="B45" s="4" t="s">
        <v>3</v>
      </c>
      <c r="C45" s="4" t="s">
        <v>4</v>
      </c>
      <c r="D45" s="4" t="s">
        <v>5</v>
      </c>
      <c r="E45" s="4" t="s">
        <v>350</v>
      </c>
      <c r="F45" s="4"/>
      <c r="G45" s="4"/>
      <c r="H45" s="4"/>
      <c r="I45" s="4" t="s">
        <v>7</v>
      </c>
    </row>
    <row r="46" spans="1:9" ht="14.4" x14ac:dyDescent="0.3">
      <c r="A46" s="5" t="s">
        <v>525</v>
      </c>
      <c r="B46" s="5" t="s">
        <v>526</v>
      </c>
      <c r="C46" s="5" t="s">
        <v>181</v>
      </c>
      <c r="D46" s="7">
        <f>C11*C7*C12</f>
        <v>124.123968</v>
      </c>
      <c r="E46" s="5" t="s">
        <v>527</v>
      </c>
      <c r="F46" s="5"/>
      <c r="G46" s="5"/>
      <c r="H46" s="5"/>
      <c r="I46" s="11" t="s">
        <v>528</v>
      </c>
    </row>
    <row r="47" spans="1:9" ht="27.6" x14ac:dyDescent="0.3">
      <c r="A47" s="5" t="s">
        <v>529</v>
      </c>
      <c r="B47" s="5"/>
      <c r="C47" s="5" t="s">
        <v>181</v>
      </c>
      <c r="D47" s="7">
        <f>D20-D46</f>
        <v>2989.3207661607094</v>
      </c>
      <c r="E47" s="5" t="s">
        <v>530</v>
      </c>
      <c r="F47" s="5"/>
      <c r="G47" s="5"/>
      <c r="H47" s="5"/>
      <c r="I47" s="11" t="s">
        <v>531</v>
      </c>
    </row>
    <row r="48" spans="1:9" ht="27.6" x14ac:dyDescent="0.3">
      <c r="A48" s="5" t="s">
        <v>532</v>
      </c>
      <c r="B48" s="5"/>
      <c r="C48" s="5"/>
      <c r="D48" s="7">
        <f>D47/(C7*C12)</f>
        <v>0.36125022600317319</v>
      </c>
      <c r="E48" s="5" t="s">
        <v>533</v>
      </c>
      <c r="F48" s="5"/>
      <c r="G48" s="5"/>
      <c r="H48" s="5"/>
      <c r="I48" s="11" t="s">
        <v>534</v>
      </c>
    </row>
    <row r="49" spans="1:9" ht="27.6" x14ac:dyDescent="0.3">
      <c r="A49" s="5" t="s">
        <v>535</v>
      </c>
      <c r="B49" s="5"/>
      <c r="C49" s="5" t="s">
        <v>162</v>
      </c>
      <c r="D49" s="14">
        <f>DEGREES(ASIN(MIN(D48,1)))</f>
        <v>21.176996547280481</v>
      </c>
      <c r="E49" s="5" t="s">
        <v>536</v>
      </c>
      <c r="F49" s="5"/>
      <c r="G49" s="5"/>
      <c r="H49" s="5"/>
      <c r="I49" s="11" t="s">
        <v>537</v>
      </c>
    </row>
    <row r="50" spans="1:9" ht="14.4" x14ac:dyDescent="0.3">
      <c r="A50" s="5" t="s">
        <v>538</v>
      </c>
      <c r="B50" s="5"/>
      <c r="C50" s="5" t="s">
        <v>107</v>
      </c>
      <c r="D50" s="14">
        <f>TAN(RADIANS(D49))*100</f>
        <v>38.741262133534001</v>
      </c>
      <c r="E50" s="5" t="s">
        <v>539</v>
      </c>
      <c r="F50" s="5"/>
      <c r="G50" s="5"/>
      <c r="H50" s="5"/>
      <c r="I50" s="11" t="s">
        <v>540</v>
      </c>
    </row>
    <row r="52" spans="1:9" ht="15.6" x14ac:dyDescent="0.3">
      <c r="A52" s="2" t="s">
        <v>541</v>
      </c>
      <c r="B52" s="2"/>
      <c r="C52" s="2"/>
      <c r="D52" s="2"/>
      <c r="E52" s="2"/>
      <c r="F52" s="2"/>
      <c r="G52" s="2"/>
      <c r="H52" s="2"/>
      <c r="I52" s="2"/>
    </row>
    <row r="53" spans="1:9" ht="28.2" x14ac:dyDescent="0.3">
      <c r="A53" s="4" t="s">
        <v>542</v>
      </c>
      <c r="B53" s="4" t="s">
        <v>543</v>
      </c>
      <c r="C53" s="4" t="s">
        <v>544</v>
      </c>
      <c r="D53" s="4" t="s">
        <v>545</v>
      </c>
      <c r="E53" s="4" t="s">
        <v>546</v>
      </c>
      <c r="F53" s="4" t="s">
        <v>440</v>
      </c>
      <c r="G53" s="4" t="s">
        <v>547</v>
      </c>
      <c r="H53" s="4" t="s">
        <v>548</v>
      </c>
      <c r="I53" s="4" t="s">
        <v>7</v>
      </c>
    </row>
    <row r="54" spans="1:9" ht="14.4" x14ac:dyDescent="0.3">
      <c r="A54" s="8">
        <v>5</v>
      </c>
      <c r="B54" s="10">
        <f t="shared" ref="B54:B61" si="0">TAN(RADIANS(A54))*100</f>
        <v>8.7488663525924011</v>
      </c>
      <c r="C54" s="10">
        <f>C7*C12*SIN(RADIANS(A54))</f>
        <v>721.20777492177035</v>
      </c>
      <c r="D54" s="10">
        <f>C11*C7*C12*COS(RADIANS(A54))</f>
        <v>123.65163882770949</v>
      </c>
      <c r="E54" s="10">
        <f t="shared" ref="E54:E61" si="1">C54+D54</f>
        <v>844.85941374947981</v>
      </c>
      <c r="F54" s="10">
        <f>D20</f>
        <v>3113.4447341607092</v>
      </c>
      <c r="G54" s="10">
        <f t="shared" ref="G54:G61" si="2">F54-E54</f>
        <v>2268.5853204112295</v>
      </c>
      <c r="H54" s="10" t="str">
        <f t="shared" ref="H54:H61" si="3">IF(G54&gt;0,"CAN CLIMB","CANNOT CLIMB")</f>
        <v>CAN CLIMB</v>
      </c>
      <c r="I54" s="11"/>
    </row>
    <row r="55" spans="1:9" ht="14.4" x14ac:dyDescent="0.3">
      <c r="A55" s="8">
        <v>8</v>
      </c>
      <c r="B55" s="10">
        <f t="shared" si="0"/>
        <v>14.054083470239146</v>
      </c>
      <c r="C55" s="10">
        <f>C7*C12*SIN(RADIANS(A55))</f>
        <v>1151.6478353351956</v>
      </c>
      <c r="D55" s="10">
        <f>C11*C7*C12*COS(RADIANS(A55))</f>
        <v>122.91600207590048</v>
      </c>
      <c r="E55" s="10">
        <f t="shared" si="1"/>
        <v>1274.5638374110961</v>
      </c>
      <c r="F55" s="10">
        <f>D20</f>
        <v>3113.4447341607092</v>
      </c>
      <c r="G55" s="10">
        <f t="shared" si="2"/>
        <v>1838.8808967496132</v>
      </c>
      <c r="H55" s="10" t="str">
        <f t="shared" si="3"/>
        <v>CAN CLIMB</v>
      </c>
      <c r="I55" s="11"/>
    </row>
    <row r="56" spans="1:9" ht="14.4" x14ac:dyDescent="0.3">
      <c r="A56" s="8">
        <v>10</v>
      </c>
      <c r="B56" s="10">
        <f t="shared" si="0"/>
        <v>17.632698070846498</v>
      </c>
      <c r="C56" s="10">
        <f>C7*C12*SIN(RADIANS(A56))</f>
        <v>1436.9267231992251</v>
      </c>
      <c r="D56" s="10">
        <f>C11*C7*C12*COS(RADIANS(A56))</f>
        <v>122.23824602103922</v>
      </c>
      <c r="E56" s="10">
        <f t="shared" si="1"/>
        <v>1559.1649692202643</v>
      </c>
      <c r="F56" s="10">
        <f>D20</f>
        <v>3113.4447341607092</v>
      </c>
      <c r="G56" s="10">
        <f t="shared" si="2"/>
        <v>1554.2797649404449</v>
      </c>
      <c r="H56" s="10" t="str">
        <f t="shared" si="3"/>
        <v>CAN CLIMB</v>
      </c>
      <c r="I56" s="11"/>
    </row>
    <row r="57" spans="1:9" ht="14.4" x14ac:dyDescent="0.3">
      <c r="A57" s="8">
        <v>12</v>
      </c>
      <c r="B57" s="10">
        <f t="shared" si="0"/>
        <v>21.255656167002211</v>
      </c>
      <c r="C57" s="10">
        <f>C7*C12*SIN(RADIANS(A57))</f>
        <v>1720.4549371926305</v>
      </c>
      <c r="D57" s="10">
        <f>C11*C7*C12*COS(RADIANS(A57))</f>
        <v>121.41156149275967</v>
      </c>
      <c r="E57" s="10">
        <f t="shared" si="1"/>
        <v>1841.8664986853901</v>
      </c>
      <c r="F57" s="10">
        <f>D20</f>
        <v>3113.4447341607092</v>
      </c>
      <c r="G57" s="10">
        <f t="shared" si="2"/>
        <v>1271.5782354753192</v>
      </c>
      <c r="H57" s="10" t="str">
        <f t="shared" si="3"/>
        <v>CAN CLIMB</v>
      </c>
      <c r="I57" s="11"/>
    </row>
    <row r="58" spans="1:9" ht="14.4" x14ac:dyDescent="0.3">
      <c r="A58" s="15">
        <v>15</v>
      </c>
      <c r="B58" s="16">
        <f t="shared" si="0"/>
        <v>26.794919243112268</v>
      </c>
      <c r="C58" s="16">
        <f>C7*C12*SIN(RADIANS(A58))</f>
        <v>2141.7097914730562</v>
      </c>
      <c r="D58" s="16">
        <f>C11*C7*C12*COS(RADIANS(A58))</f>
        <v>119.89454635267788</v>
      </c>
      <c r="E58" s="16">
        <f t="shared" si="1"/>
        <v>2261.6043378257341</v>
      </c>
      <c r="F58" s="16">
        <f>D20</f>
        <v>3113.4447341607092</v>
      </c>
      <c r="G58" s="16">
        <f t="shared" si="2"/>
        <v>851.84039633497514</v>
      </c>
      <c r="H58" s="16" t="str">
        <f t="shared" si="3"/>
        <v>CAN CLIMB</v>
      </c>
      <c r="I58" s="17" t="s">
        <v>549</v>
      </c>
    </row>
    <row r="59" spans="1:9" ht="14.4" x14ac:dyDescent="0.3">
      <c r="A59" s="8">
        <v>18</v>
      </c>
      <c r="B59" s="10">
        <f t="shared" si="0"/>
        <v>32.491969623290629</v>
      </c>
      <c r="C59" s="10">
        <f>C7*C12*SIN(RADIANS(A59))</f>
        <v>2557.0943680834771</v>
      </c>
      <c r="D59" s="10">
        <f>C11*C7*C12*COS(RADIANS(A59))</f>
        <v>118.04890859481112</v>
      </c>
      <c r="E59" s="10">
        <f t="shared" si="1"/>
        <v>2675.1432766782882</v>
      </c>
      <c r="F59" s="10">
        <f>D20</f>
        <v>3113.4447341607092</v>
      </c>
      <c r="G59" s="10">
        <f t="shared" si="2"/>
        <v>438.30145748242103</v>
      </c>
      <c r="H59" s="10" t="str">
        <f t="shared" si="3"/>
        <v>CAN CLIMB</v>
      </c>
      <c r="I59" s="11"/>
    </row>
    <row r="60" spans="1:9" ht="14.4" x14ac:dyDescent="0.3">
      <c r="A60" s="8">
        <v>20</v>
      </c>
      <c r="B60" s="10">
        <f t="shared" si="0"/>
        <v>36.397023426620237</v>
      </c>
      <c r="C60" s="10">
        <f>C7*C12*SIN(RADIANS(A60))</f>
        <v>2830.1931550340482</v>
      </c>
      <c r="D60" s="10">
        <f>C11*C7*C12*COS(RADIANS(A60))</f>
        <v>116.63837679226624</v>
      </c>
      <c r="E60" s="10">
        <f t="shared" si="1"/>
        <v>2946.8315318263144</v>
      </c>
      <c r="F60" s="10">
        <f>D20</f>
        <v>3113.4447341607092</v>
      </c>
      <c r="G60" s="10">
        <f t="shared" si="2"/>
        <v>166.61320233439483</v>
      </c>
      <c r="H60" s="10" t="str">
        <f t="shared" si="3"/>
        <v>CAN CLIMB</v>
      </c>
      <c r="I60" s="11"/>
    </row>
    <row r="61" spans="1:9" ht="14.4" x14ac:dyDescent="0.3">
      <c r="A61" s="8">
        <v>25</v>
      </c>
      <c r="B61" s="10">
        <f t="shared" si="0"/>
        <v>46.630765815499856</v>
      </c>
      <c r="C61" s="10">
        <f>C7*C12*SIN(RADIANS(A61))</f>
        <v>3497.1370397678807</v>
      </c>
      <c r="D61" s="10">
        <f>C11*C7*C12*COS(RADIANS(A61))</f>
        <v>112.49451875628796</v>
      </c>
      <c r="E61" s="10">
        <f t="shared" si="1"/>
        <v>3609.6315585241687</v>
      </c>
      <c r="F61" s="10">
        <f>D20</f>
        <v>3113.4447341607092</v>
      </c>
      <c r="G61" s="10">
        <f t="shared" si="2"/>
        <v>-496.18682436345944</v>
      </c>
      <c r="H61" s="10" t="str">
        <f t="shared" si="3"/>
        <v>CANNOT CLIMB</v>
      </c>
      <c r="I61" s="11"/>
    </row>
  </sheetData>
  <mergeCells count="7">
    <mergeCell ref="A44:I44"/>
    <mergeCell ref="A52:I52"/>
    <mergeCell ref="A1:I1"/>
    <mergeCell ref="A3:I3"/>
    <mergeCell ref="A18:I18"/>
    <mergeCell ref="A25:I25"/>
    <mergeCell ref="A35:I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 Specs</vt:lpstr>
      <vt:lpstr>Gradeability Power</vt:lpstr>
      <vt:lpstr>Acceleration Power</vt:lpstr>
      <vt:lpstr>Powertrain Summary</vt:lpstr>
      <vt:lpstr>Accel Verification</vt:lpstr>
      <vt:lpstr>Grade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Saurabh Mehta</cp:lastModifiedBy>
  <cp:revision>0</cp:revision>
  <dcterms:created xsi:type="dcterms:W3CDTF">2026-02-13T20:21:06Z</dcterms:created>
  <dcterms:modified xsi:type="dcterms:W3CDTF">2026-02-14T10:37:12Z</dcterms:modified>
  <dc:language>en-US</dc:language>
</cp:coreProperties>
</file>